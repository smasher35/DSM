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PROGRAMING\CSHARP_APPS\LeiriaDISIA\assets\"/>
    </mc:Choice>
  </mc:AlternateContent>
  <xr:revisionPtr revIDLastSave="0" documentId="13_ncr:1_{493B711E-84F0-4488-9514-951E7B69734D}" xr6:coauthVersionLast="47" xr6:coauthVersionMax="47" xr10:uidLastSave="{00000000-0000-0000-0000-000000000000}"/>
  <bookViews>
    <workbookView xWindow="-120" yWindow="-120" windowWidth="29040" windowHeight="15720" tabRatio="874" firstSheet="2" activeTab="17" xr2:uid="{00000000-000D-0000-FFFF-FFFF00000000}"/>
  </bookViews>
  <sheets>
    <sheet name="DASHBOARD" sheetId="24" r:id="rId1"/>
    <sheet name="JAN" sheetId="1" r:id="rId2"/>
    <sheet name="FEV" sheetId="2" r:id="rId3"/>
    <sheet name="MAR" sheetId="3" r:id="rId4"/>
    <sheet name="ABR" sheetId="4" r:id="rId5"/>
    <sheet name="MAI" sheetId="5" r:id="rId6"/>
    <sheet name="JUN" sheetId="6" r:id="rId7"/>
    <sheet name="JUL" sheetId="7" r:id="rId8"/>
    <sheet name="AGO" sheetId="8" r:id="rId9"/>
    <sheet name="SET" sheetId="9" r:id="rId10"/>
    <sheet name="OUT" sheetId="10" r:id="rId11"/>
    <sheet name="NOV" sheetId="11" r:id="rId12"/>
    <sheet name="DEZ" sheetId="12" r:id="rId13"/>
    <sheet name="Totais" sheetId="13" r:id="rId14"/>
    <sheet name="Pedidos de Intervenção" sheetId="16" r:id="rId15"/>
    <sheet name="Serv. DISIA" sheetId="23" r:id="rId16"/>
    <sheet name="GEPE" sheetId="22" r:id="rId17"/>
    <sheet name="Lista de Escolas" sheetId="21" r:id="rId18"/>
    <sheet name="Equipamento Abatido" sheetId="18" r:id="rId19"/>
    <sheet name="Casos Pendentes" sheetId="19" r:id="rId20"/>
    <sheet name="Contactos" sheetId="20" r:id="rId21"/>
  </sheets>
  <definedNames>
    <definedName name="_xlnm._FilterDatabase" localSheetId="16" hidden="1">GEPE!$A$1:$L$91</definedName>
    <definedName name="_xlnm._FilterDatabase" localSheetId="17" hidden="1">'Lista de Escolas'!$B$1:$G$181</definedName>
    <definedName name="Z_6C6D19B4_0AAB_4D39_9585_2246A62E9472_.wvu.Cols" localSheetId="4" hidden="1">ABR!$D:$D</definedName>
    <definedName name="Z_6C6D19B4_0AAB_4D39_9585_2246A62E9472_.wvu.Cols" localSheetId="8" hidden="1">AGO!$D:$D</definedName>
    <definedName name="Z_6C6D19B4_0AAB_4D39_9585_2246A62E9472_.wvu.Cols" localSheetId="2" hidden="1">FEV!$D:$D</definedName>
    <definedName name="Z_6C6D19B4_0AAB_4D39_9585_2246A62E9472_.wvu.Cols" localSheetId="1" hidden="1">JAN!$D:$D</definedName>
    <definedName name="Z_6C6D19B4_0AAB_4D39_9585_2246A62E9472_.wvu.Cols" localSheetId="7" hidden="1">JUL!$D:$D</definedName>
    <definedName name="Z_6C6D19B4_0AAB_4D39_9585_2246A62E9472_.wvu.Cols" localSheetId="6" hidden="1">JUN!$D:$D</definedName>
    <definedName name="Z_6C6D19B4_0AAB_4D39_9585_2246A62E9472_.wvu.Cols" localSheetId="5" hidden="1">MAI!$D:$D</definedName>
    <definedName name="Z_6C6D19B4_0AAB_4D39_9585_2246A62E9472_.wvu.Cols" localSheetId="3" hidden="1">MAR!$D:$D</definedName>
    <definedName name="Z_6C6D19B4_0AAB_4D39_9585_2246A62E9472_.wvu.Cols" localSheetId="10" hidden="1">OUT!$D:$D</definedName>
    <definedName name="Z_6C6D19B4_0AAB_4D39_9585_2246A62E9472_.wvu.Cols" localSheetId="9" hidden="1">SET!$D:$D</definedName>
    <definedName name="Z_6C6D19B4_0AAB_4D39_9585_2246A62E9472_.wvu.FilterData" localSheetId="17" hidden="1">'Lista de Escolas'!$B$2:$G$2</definedName>
    <definedName name="Z_7E850ADC_7020_4CE4_9656_1D37A8554340_.wvu.Cols" localSheetId="4" hidden="1">ABR!$D:$D</definedName>
    <definedName name="Z_7E850ADC_7020_4CE4_9656_1D37A8554340_.wvu.Cols" localSheetId="8" hidden="1">AGO!$D:$D</definedName>
    <definedName name="Z_7E850ADC_7020_4CE4_9656_1D37A8554340_.wvu.Cols" localSheetId="2" hidden="1">FEV!$D:$D</definedName>
    <definedName name="Z_7E850ADC_7020_4CE4_9656_1D37A8554340_.wvu.Cols" localSheetId="1" hidden="1">JAN!$D:$D</definedName>
    <definedName name="Z_7E850ADC_7020_4CE4_9656_1D37A8554340_.wvu.Cols" localSheetId="7" hidden="1">JUL!$D:$D</definedName>
    <definedName name="Z_7E850ADC_7020_4CE4_9656_1D37A8554340_.wvu.Cols" localSheetId="6" hidden="1">JUN!$D:$D</definedName>
    <definedName name="Z_7E850ADC_7020_4CE4_9656_1D37A8554340_.wvu.Cols" localSheetId="5" hidden="1">MAI!$D:$D</definedName>
    <definedName name="Z_7E850ADC_7020_4CE4_9656_1D37A8554340_.wvu.Cols" localSheetId="3" hidden="1">MAR!$D:$D</definedName>
    <definedName name="Z_7E850ADC_7020_4CE4_9656_1D37A8554340_.wvu.Cols" localSheetId="10" hidden="1">OUT!$D:$D</definedName>
    <definedName name="Z_7E850ADC_7020_4CE4_9656_1D37A8554340_.wvu.Cols" localSheetId="9" hidden="1">SET!$D:$D</definedName>
    <definedName name="Z_7E850ADC_7020_4CE4_9656_1D37A8554340_.wvu.FilterData" localSheetId="17" hidden="1">'Lista de Escolas'!$B$2:$G$2</definedName>
  </definedNames>
  <calcPr calcId="191029"/>
  <customWorkbookViews>
    <customWorkbookView name="Paulo Penicheiro - Vista pessoal" guid="{7E850ADC-7020-4CE4-9656-1D37A8554340}" mergeInterval="0" personalView="1" maximized="1" windowWidth="1270" windowHeight="761" tabRatio="874" activeSheetId="16"/>
    <customWorkbookView name="SMASHER - Personal View" guid="{6C6D19B4-0AAB-4D39-9585-2246A62E9472}" mergeInterval="0" personalView="1" maximized="1" windowWidth="1916" windowHeight="855" tabRatio="874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6" l="1"/>
  <c r="I21" i="16"/>
  <c r="F60" i="7"/>
  <c r="I18" i="16" s="1"/>
  <c r="G60" i="7"/>
  <c r="I19" i="16" s="1"/>
  <c r="H60" i="7"/>
  <c r="I20" i="16" s="1"/>
  <c r="J60" i="7"/>
  <c r="I60" i="7"/>
  <c r="E12" i="6"/>
  <c r="J59" i="6"/>
  <c r="I59" i="6"/>
  <c r="H59" i="6"/>
  <c r="G59" i="6"/>
  <c r="F59" i="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J61" i="5" l="1"/>
  <c r="I61" i="5"/>
  <c r="H61" i="5"/>
  <c r="G61" i="5"/>
  <c r="F61" i="5"/>
  <c r="G62" i="4"/>
  <c r="H62" i="4"/>
  <c r="I62" i="4"/>
  <c r="J62" i="4"/>
  <c r="F62" i="4"/>
  <c r="M6" i="16"/>
  <c r="M10" i="16"/>
  <c r="M29" i="16"/>
  <c r="M30" i="16"/>
  <c r="M31" i="16"/>
  <c r="M32" i="16"/>
  <c r="M33" i="16"/>
  <c r="M34" i="16"/>
  <c r="M35" i="16"/>
  <c r="K9" i="24"/>
  <c r="B7" i="16"/>
  <c r="M7" i="16"/>
  <c r="M8" i="16"/>
  <c r="B6" i="16"/>
  <c r="B5" i="16"/>
  <c r="M5" i="16"/>
  <c r="M9" i="16"/>
  <c r="E5" i="3"/>
  <c r="J80" i="3"/>
  <c r="I80" i="3"/>
  <c r="H80" i="3"/>
  <c r="G80" i="3"/>
  <c r="F80" i="3"/>
  <c r="E6" i="3"/>
  <c r="H84" i="2"/>
  <c r="I84" i="2"/>
  <c r="J84" i="2"/>
  <c r="G84" i="2"/>
  <c r="F84" i="2"/>
  <c r="H64" i="1"/>
  <c r="I64" i="1"/>
  <c r="J64" i="1"/>
  <c r="G64" i="1"/>
  <c r="F64" i="1"/>
  <c r="E5" i="9"/>
  <c r="D5" i="11"/>
  <c r="E5" i="2"/>
  <c r="E9" i="1"/>
  <c r="I7" i="16" l="1"/>
  <c r="I6" i="16"/>
  <c r="I9" i="16"/>
  <c r="I5" i="16"/>
  <c r="I8" i="16"/>
  <c r="E39" i="1"/>
  <c r="E40" i="1"/>
  <c r="E41" i="1"/>
  <c r="E42" i="1"/>
  <c r="E43" i="1"/>
  <c r="E44" i="1"/>
  <c r="E45" i="1"/>
  <c r="E46" i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5" i="7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" i="8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 l="1"/>
  <c r="E33" i="10"/>
  <c r="E34" i="10"/>
  <c r="E35" i="10"/>
  <c r="E36" i="10"/>
  <c r="B61" i="8"/>
  <c r="E14" i="8"/>
  <c r="E13" i="8"/>
  <c r="E20" i="6"/>
  <c r="E25" i="6"/>
  <c r="E22" i="1"/>
  <c r="E23" i="1"/>
  <c r="E24" i="1"/>
  <c r="E25" i="1"/>
  <c r="D16" i="12"/>
  <c r="D25" i="11"/>
  <c r="D26" i="11"/>
  <c r="D24" i="11"/>
  <c r="D23" i="11"/>
  <c r="E35" i="5"/>
  <c r="E36" i="5"/>
  <c r="E37" i="5"/>
  <c r="E34" i="5"/>
  <c r="E38" i="5"/>
  <c r="E39" i="5"/>
  <c r="E40" i="5"/>
  <c r="E41" i="5"/>
  <c r="E42" i="5"/>
  <c r="E43" i="5"/>
  <c r="E44" i="5"/>
  <c r="E45" i="5"/>
  <c r="E46" i="5"/>
  <c r="E47" i="5"/>
  <c r="E48" i="5"/>
  <c r="E49" i="5"/>
  <c r="E33" i="5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72" i="2"/>
  <c r="E73" i="2"/>
  <c r="E74" i="2"/>
  <c r="E75" i="2"/>
  <c r="E76" i="2"/>
  <c r="E77" i="2"/>
  <c r="E78" i="2"/>
  <c r="E79" i="2"/>
  <c r="E80" i="2"/>
  <c r="E81" i="2"/>
  <c r="E82" i="2"/>
  <c r="E83" i="2"/>
  <c r="B85" i="2"/>
  <c r="E61" i="2"/>
  <c r="E62" i="2"/>
  <c r="E63" i="2"/>
  <c r="E64" i="2"/>
  <c r="E65" i="2"/>
  <c r="E66" i="2"/>
  <c r="E67" i="2"/>
  <c r="E68" i="2"/>
  <c r="E69" i="2"/>
  <c r="E70" i="2"/>
  <c r="E71" i="2"/>
  <c r="E54" i="2"/>
  <c r="E29" i="2"/>
  <c r="E30" i="2"/>
  <c r="E31" i="2"/>
  <c r="E32" i="2"/>
  <c r="E33" i="2"/>
  <c r="E34" i="2"/>
  <c r="E35" i="2"/>
  <c r="E28" i="2"/>
  <c r="E6" i="1"/>
  <c r="E13" i="1"/>
  <c r="E5" i="1"/>
  <c r="E7" i="1"/>
  <c r="E8" i="1"/>
  <c r="E10" i="1"/>
  <c r="E11" i="1"/>
  <c r="E12" i="1"/>
  <c r="E14" i="1"/>
  <c r="E15" i="1"/>
  <c r="E16" i="1"/>
  <c r="E17" i="1"/>
  <c r="E18" i="1"/>
  <c r="E19" i="1"/>
  <c r="E20" i="1"/>
  <c r="E21" i="1"/>
  <c r="E26" i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5" i="5"/>
  <c r="E6" i="5"/>
  <c r="E5" i="10"/>
  <c r="E6" i="10"/>
  <c r="E7" i="10"/>
  <c r="E8" i="10"/>
  <c r="D7" i="11" l="1"/>
  <c r="E24" i="2"/>
  <c r="D6" i="11"/>
  <c r="D8" i="11"/>
  <c r="D9" i="11"/>
  <c r="D10" i="11"/>
  <c r="D11" i="11"/>
  <c r="D12" i="11"/>
  <c r="D13" i="11"/>
  <c r="D14" i="11"/>
  <c r="D15" i="11"/>
  <c r="D16" i="11"/>
  <c r="B63" i="5"/>
  <c r="E22" i="13" s="1"/>
  <c r="E16" i="10"/>
  <c r="E17" i="10"/>
  <c r="E18" i="10"/>
  <c r="E15" i="10"/>
  <c r="E11" i="10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7" i="5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31" i="4"/>
  <c r="E32" i="4"/>
  <c r="E33" i="4"/>
  <c r="E34" i="4"/>
  <c r="E35" i="4"/>
  <c r="E36" i="4"/>
  <c r="E37" i="4"/>
  <c r="E38" i="4"/>
  <c r="E39" i="4"/>
  <c r="E40" i="4"/>
  <c r="B66" i="3"/>
  <c r="B65" i="1"/>
  <c r="B64" i="10"/>
  <c r="E9" i="10"/>
  <c r="E10" i="10"/>
  <c r="E12" i="10"/>
  <c r="E13" i="10"/>
  <c r="E14" i="10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7" i="1"/>
  <c r="E28" i="1"/>
  <c r="E29" i="1"/>
  <c r="D6" i="12"/>
  <c r="D7" i="12"/>
  <c r="D8" i="12"/>
  <c r="D9" i="12"/>
  <c r="D10" i="12"/>
  <c r="D11" i="12"/>
  <c r="D12" i="12"/>
  <c r="D13" i="12"/>
  <c r="D14" i="12"/>
  <c r="D15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5" i="12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17" i="11"/>
  <c r="D18" i="11"/>
  <c r="D19" i="11"/>
  <c r="D20" i="11"/>
  <c r="D21" i="11"/>
  <c r="D22" i="11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" i="6"/>
  <c r="E7" i="6"/>
  <c r="E8" i="6"/>
  <c r="E9" i="6"/>
  <c r="E10" i="6"/>
  <c r="E11" i="6"/>
  <c r="E13" i="6"/>
  <c r="E14" i="6"/>
  <c r="E15" i="6"/>
  <c r="E16" i="6"/>
  <c r="E17" i="6"/>
  <c r="E18" i="6"/>
  <c r="E19" i="6"/>
  <c r="E21" i="6"/>
  <c r="E22" i="6"/>
  <c r="E23" i="6"/>
  <c r="E24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5" i="6"/>
  <c r="E25" i="5"/>
  <c r="E26" i="5"/>
  <c r="E27" i="5"/>
  <c r="E28" i="5"/>
  <c r="E29" i="5"/>
  <c r="E30" i="5"/>
  <c r="E31" i="5"/>
  <c r="E32" i="5"/>
  <c r="E50" i="5"/>
  <c r="E51" i="5"/>
  <c r="E52" i="5"/>
  <c r="E53" i="5"/>
  <c r="E54" i="5"/>
  <c r="E55" i="5"/>
  <c r="E56" i="5"/>
  <c r="E57" i="5"/>
  <c r="E58" i="5"/>
  <c r="E59" i="5"/>
  <c r="E60" i="5"/>
  <c r="B69" i="12"/>
  <c r="L22" i="13" s="1"/>
  <c r="B70" i="11"/>
  <c r="K22" i="13" s="1"/>
  <c r="B60" i="9"/>
  <c r="E57" i="9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2" i="8"/>
  <c r="E11" i="8"/>
  <c r="E10" i="8"/>
  <c r="E9" i="8"/>
  <c r="E8" i="8"/>
  <c r="E7" i="8"/>
  <c r="E6" i="8"/>
  <c r="B61" i="7"/>
  <c r="E58" i="7"/>
  <c r="E57" i="7"/>
  <c r="E56" i="7"/>
  <c r="E55" i="7"/>
  <c r="E54" i="7"/>
  <c r="E53" i="7"/>
  <c r="E52" i="7"/>
  <c r="E51" i="7"/>
  <c r="E50" i="7"/>
  <c r="E49" i="7"/>
  <c r="E48" i="7"/>
  <c r="E67" i="7" s="1"/>
  <c r="G18" i="13" s="1"/>
  <c r="B62" i="6"/>
  <c r="F22" i="13" s="1"/>
  <c r="B63" i="4"/>
  <c r="D22" i="13" s="1"/>
  <c r="E63" i="3"/>
  <c r="E62" i="3"/>
  <c r="E61" i="3"/>
  <c r="E60" i="3"/>
  <c r="E59" i="3"/>
  <c r="E58" i="3"/>
  <c r="E57" i="3"/>
  <c r="E56" i="3"/>
  <c r="E55" i="3"/>
  <c r="E54" i="3"/>
  <c r="E53" i="3"/>
  <c r="E60" i="2"/>
  <c r="E59" i="2"/>
  <c r="E58" i="2"/>
  <c r="E57" i="2"/>
  <c r="E56" i="2"/>
  <c r="E55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27" i="2"/>
  <c r="E26" i="2"/>
  <c r="E25" i="2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38" i="1"/>
  <c r="E37" i="1"/>
  <c r="E36" i="1"/>
  <c r="E35" i="1"/>
  <c r="E34" i="1"/>
  <c r="E33" i="1"/>
  <c r="E32" i="1"/>
  <c r="E31" i="1"/>
  <c r="E30" i="1"/>
  <c r="E68" i="6" l="1"/>
  <c r="E65" i="8"/>
  <c r="H14" i="13" s="1"/>
  <c r="E67" i="8"/>
  <c r="E72" i="3"/>
  <c r="E66" i="6"/>
  <c r="E61" i="6"/>
  <c r="D73" i="12"/>
  <c r="L14" i="13" s="1"/>
  <c r="E69" i="5"/>
  <c r="E86" i="2"/>
  <c r="E84" i="2"/>
  <c r="E91" i="2"/>
  <c r="E88" i="2"/>
  <c r="E89" i="2"/>
  <c r="E85" i="2"/>
  <c r="E87" i="2"/>
  <c r="E90" i="2"/>
  <c r="D68" i="12"/>
  <c r="L4" i="13" s="1"/>
  <c r="E68" i="4"/>
  <c r="E70" i="1"/>
  <c r="A16" i="13" s="1"/>
  <c r="E64" i="7"/>
  <c r="E63" i="9"/>
  <c r="I12" i="13" s="1"/>
  <c r="D74" i="11"/>
  <c r="K14" i="13" s="1"/>
  <c r="E68" i="10"/>
  <c r="J14" i="13" s="1"/>
  <c r="E66" i="5"/>
  <c r="D72" i="12"/>
  <c r="L12" i="13" s="1"/>
  <c r="E65" i="4"/>
  <c r="D75" i="12"/>
  <c r="L18" i="13" s="1"/>
  <c r="D71" i="12"/>
  <c r="L10" i="13" s="1"/>
  <c r="E66" i="3"/>
  <c r="E67" i="6"/>
  <c r="E60" i="9"/>
  <c r="I6" i="13" s="1"/>
  <c r="E60" i="8"/>
  <c r="E64" i="10"/>
  <c r="J6" i="13" s="1"/>
  <c r="E63" i="6"/>
  <c r="E68" i="3"/>
  <c r="E66" i="1"/>
  <c r="A8" i="13" s="1"/>
  <c r="E70" i="3"/>
  <c r="D69" i="12"/>
  <c r="L6" i="13" s="1"/>
  <c r="E63" i="7"/>
  <c r="F8" i="16" s="1"/>
  <c r="E65" i="9"/>
  <c r="I16" i="13" s="1"/>
  <c r="D70" i="11"/>
  <c r="K6" i="13" s="1"/>
  <c r="D70" i="12"/>
  <c r="L8" i="13" s="1"/>
  <c r="D74" i="12"/>
  <c r="L16" i="13" s="1"/>
  <c r="E62" i="7"/>
  <c r="F7" i="16" s="1"/>
  <c r="E66" i="9"/>
  <c r="I18" i="13" s="1"/>
  <c r="E65" i="7"/>
  <c r="E61" i="8"/>
  <c r="H6" i="13" s="1"/>
  <c r="E63" i="4"/>
  <c r="E64" i="9"/>
  <c r="I14" i="13" s="1"/>
  <c r="E62" i="5"/>
  <c r="E59" i="9"/>
  <c r="I4" i="13" s="1"/>
  <c r="E69" i="10"/>
  <c r="J16" i="13" s="1"/>
  <c r="E64" i="4"/>
  <c r="E62" i="6"/>
  <c r="D75" i="11"/>
  <c r="K16" i="13" s="1"/>
  <c r="E69" i="4"/>
  <c r="E67" i="3"/>
  <c r="E64" i="5"/>
  <c r="E62" i="4"/>
  <c r="E67" i="4"/>
  <c r="E60" i="7"/>
  <c r="E66" i="8"/>
  <c r="H16" i="13" s="1"/>
  <c r="E66" i="4"/>
  <c r="E65" i="3"/>
  <c r="E71" i="1"/>
  <c r="A18" i="13" s="1"/>
  <c r="E68" i="1"/>
  <c r="A12" i="13" s="1"/>
  <c r="E65" i="6"/>
  <c r="E62" i="9"/>
  <c r="I10" i="13" s="1"/>
  <c r="E66" i="7"/>
  <c r="E63" i="10"/>
  <c r="D69" i="11"/>
  <c r="E62" i="8"/>
  <c r="H8" i="13" s="1"/>
  <c r="E67" i="5"/>
  <c r="E64" i="8"/>
  <c r="H12" i="13" s="1"/>
  <c r="E67" i="1"/>
  <c r="A10" i="13" s="1"/>
  <c r="E69" i="1"/>
  <c r="A14" i="13" s="1"/>
  <c r="E64" i="6"/>
  <c r="E65" i="10"/>
  <c r="J8" i="13" s="1"/>
  <c r="D76" i="11"/>
  <c r="K18" i="13" s="1"/>
  <c r="E65" i="5"/>
  <c r="E69" i="3"/>
  <c r="E63" i="8"/>
  <c r="H10" i="13" s="1"/>
  <c r="E61" i="9"/>
  <c r="I8" i="13" s="1"/>
  <c r="E65" i="1"/>
  <c r="A6" i="13" s="1"/>
  <c r="E68" i="5"/>
  <c r="E66" i="10"/>
  <c r="J10" i="13" s="1"/>
  <c r="D71" i="11"/>
  <c r="K8" i="13" s="1"/>
  <c r="E63" i="5"/>
  <c r="E67" i="10"/>
  <c r="J12" i="13" s="1"/>
  <c r="D73" i="11"/>
  <c r="K12" i="13" s="1"/>
  <c r="E71" i="3"/>
  <c r="F12" i="16"/>
  <c r="E64" i="1"/>
  <c r="E61" i="7"/>
  <c r="D72" i="11"/>
  <c r="K10" i="13" s="1"/>
  <c r="E70" i="10"/>
  <c r="J18" i="13" s="1"/>
  <c r="E68" i="7" l="1"/>
  <c r="G22" i="13" s="1"/>
  <c r="G12" i="13"/>
  <c r="F9" i="16"/>
  <c r="G14" i="13"/>
  <c r="F10" i="16"/>
  <c r="G4" i="13"/>
  <c r="F5" i="16"/>
  <c r="G16" i="13"/>
  <c r="F11" i="16"/>
  <c r="G6" i="13"/>
  <c r="F6" i="16"/>
  <c r="F14" i="13"/>
  <c r="E69" i="6"/>
  <c r="F4" i="13"/>
  <c r="F18" i="13"/>
  <c r="F16" i="13"/>
  <c r="F8" i="13"/>
  <c r="F6" i="13"/>
  <c r="F12" i="13"/>
  <c r="F10" i="13"/>
  <c r="E18" i="13"/>
  <c r="E12" i="13"/>
  <c r="E4" i="13"/>
  <c r="E8" i="13"/>
  <c r="E14" i="13"/>
  <c r="E10" i="13"/>
  <c r="E16" i="13"/>
  <c r="E6" i="13"/>
  <c r="D18" i="13"/>
  <c r="D6" i="13"/>
  <c r="D12" i="13"/>
  <c r="D8" i="13"/>
  <c r="D14" i="13"/>
  <c r="D4" i="13"/>
  <c r="D16" i="13"/>
  <c r="D10" i="13"/>
  <c r="C14" i="13"/>
  <c r="C18" i="13"/>
  <c r="C12" i="13"/>
  <c r="C6" i="13"/>
  <c r="C16" i="13"/>
  <c r="C10" i="13"/>
  <c r="C8" i="13"/>
  <c r="B10" i="13"/>
  <c r="B6" i="13"/>
  <c r="B14" i="13"/>
  <c r="B18" i="13"/>
  <c r="B4" i="13"/>
  <c r="B8" i="13"/>
  <c r="B16" i="13"/>
  <c r="H4" i="13"/>
  <c r="E68" i="8"/>
  <c r="H22" i="13" s="1"/>
  <c r="C4" i="13"/>
  <c r="E73" i="3"/>
  <c r="C22" i="13" s="1"/>
  <c r="G8" i="13"/>
  <c r="G10" i="13"/>
  <c r="H18" i="13"/>
  <c r="E92" i="2"/>
  <c r="B22" i="13" s="1"/>
  <c r="E70" i="4"/>
  <c r="D76" i="12"/>
  <c r="E70" i="5"/>
  <c r="E67" i="9"/>
  <c r="I22" i="13" s="1"/>
  <c r="E72" i="1"/>
  <c r="A22" i="13" s="1"/>
  <c r="A4" i="13"/>
  <c r="K4" i="13"/>
  <c r="D77" i="11"/>
  <c r="J4" i="13"/>
  <c r="E71" i="10"/>
  <c r="J22" i="13" s="1"/>
  <c r="M14" i="13" l="1"/>
  <c r="F22" i="16" s="1"/>
  <c r="M6" i="13"/>
  <c r="F18" i="16" s="1"/>
  <c r="F13" i="16"/>
  <c r="M10" i="13"/>
  <c r="F20" i="16" s="1"/>
  <c r="M18" i="13"/>
  <c r="F24" i="16" s="1"/>
  <c r="M8" i="13"/>
  <c r="F19" i="16" s="1"/>
  <c r="M16" i="13"/>
  <c r="F23" i="16" s="1"/>
  <c r="M4" i="13"/>
  <c r="F17" i="16" s="1"/>
  <c r="B12" i="13"/>
  <c r="M12" i="13" s="1"/>
  <c r="F21" i="16" s="1"/>
  <c r="M22" i="13"/>
  <c r="A3" i="24" s="1"/>
  <c r="F25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Municipio de Leiria</author>
  </authors>
  <commentList>
    <comment ref="G32" authorId="0" shapeId="0" xr:uid="{00000000-0006-0000-1200-000001000000}">
      <text>
        <r>
          <rPr>
            <b/>
            <sz val="8"/>
            <color indexed="81"/>
            <rFont val="Tahoma"/>
            <family val="2"/>
          </rPr>
          <t>Municipio de Leiria:</t>
        </r>
        <r>
          <rPr>
            <sz val="8"/>
            <color indexed="81"/>
            <rFont val="Tahoma"/>
            <family val="2"/>
          </rPr>
          <t xml:space="preserve">
Contactar antes da deslocação
Clarinda:916264676
</t>
        </r>
      </text>
    </comment>
  </commentList>
</comments>
</file>

<file path=xl/sharedStrings.xml><?xml version="1.0" encoding="utf-8"?>
<sst xmlns="http://schemas.openxmlformats.org/spreadsheetml/2006/main" count="1905" uniqueCount="824">
  <si>
    <t>JANEIRO</t>
  </si>
  <si>
    <t>Data Pedido</t>
  </si>
  <si>
    <t>Data</t>
  </si>
  <si>
    <t>Estabelecimento</t>
  </si>
  <si>
    <t>Freguesia</t>
  </si>
  <si>
    <t>Agrupamento</t>
  </si>
  <si>
    <t>Tipo de Intervenção</t>
  </si>
  <si>
    <t>Material Recolhido / Abatido</t>
  </si>
  <si>
    <t>EB1 Casal dos Claros</t>
  </si>
  <si>
    <t>Amor</t>
  </si>
  <si>
    <t>EB1 Barreiros</t>
  </si>
  <si>
    <t>EB1 Barosa</t>
  </si>
  <si>
    <t>EB1 Bajouca</t>
  </si>
  <si>
    <t>Bajouca</t>
  </si>
  <si>
    <t>Centro Escolar Barreira</t>
  </si>
  <si>
    <t>Barreira</t>
  </si>
  <si>
    <t>JI Santa Catarina</t>
  </si>
  <si>
    <t>Pousos</t>
  </si>
  <si>
    <t>EB1 Bouça</t>
  </si>
  <si>
    <t>Colmeias</t>
  </si>
  <si>
    <t>EB1 Serra de Porto Urso</t>
  </si>
  <si>
    <t>Monte Real</t>
  </si>
  <si>
    <t>JI Reixida</t>
  </si>
  <si>
    <t>EB1 Colmeias</t>
  </si>
  <si>
    <t>EB1 Amarela</t>
  </si>
  <si>
    <t>EB1 Bidoeira de Cima</t>
  </si>
  <si>
    <t>Centro Escolar Parceiros</t>
  </si>
  <si>
    <t>Parceiros</t>
  </si>
  <si>
    <t>JI Pernelhas</t>
  </si>
  <si>
    <t>Leiria</t>
  </si>
  <si>
    <t>EB1 Casal Novo</t>
  </si>
  <si>
    <t>Tot. Visitas</t>
  </si>
  <si>
    <t>Escolas Rainha Santa Isabel</t>
  </si>
  <si>
    <t>Escolas Dr. Correia Mateus</t>
  </si>
  <si>
    <t>Escolas da Caranguejeira</t>
  </si>
  <si>
    <t>Escolas de Colmeias</t>
  </si>
  <si>
    <t>Escolas de Marrazes</t>
  </si>
  <si>
    <t>Escolas Domingos Sequeira</t>
  </si>
  <si>
    <t>Escolas D. Dinis</t>
  </si>
  <si>
    <t>Escolas Maceira</t>
  </si>
  <si>
    <t>TOTAL DE VISITAS</t>
  </si>
  <si>
    <t>FEVEREIRO</t>
  </si>
  <si>
    <t>EB1 Marrazes</t>
  </si>
  <si>
    <t>EB1 Lameira</t>
  </si>
  <si>
    <t>Ortigosa</t>
  </si>
  <si>
    <t>JI Campo Amarelo</t>
  </si>
  <si>
    <t>EB1 Arrabalde</t>
  </si>
  <si>
    <t>EB1 Arrabal</t>
  </si>
  <si>
    <t>Arrabal</t>
  </si>
  <si>
    <t>Caranguejeira</t>
  </si>
  <si>
    <t>Chaínça</t>
  </si>
  <si>
    <t>EB1 Caxieira</t>
  </si>
  <si>
    <t>EB1 Agodim</t>
  </si>
  <si>
    <t>EB1 Machados</t>
  </si>
  <si>
    <t>Boavista</t>
  </si>
  <si>
    <t>Centro Escolar Coimbrão</t>
  </si>
  <si>
    <t>Coimbrão</t>
  </si>
  <si>
    <t>EB1 Marinheiros</t>
  </si>
  <si>
    <t>Marrazes</t>
  </si>
  <si>
    <t>EB1 Guimarota</t>
  </si>
  <si>
    <t>Cortes</t>
  </si>
  <si>
    <t>MARÇO</t>
  </si>
  <si>
    <t>EB1 Azoia</t>
  </si>
  <si>
    <t>Azoia</t>
  </si>
  <si>
    <t>-</t>
  </si>
  <si>
    <t>EB1 Quinta da Alçada</t>
  </si>
  <si>
    <t>JI Telheiro</t>
  </si>
  <si>
    <t>Escolas da Caranguejeira - Santa Catarina da Serra</t>
  </si>
  <si>
    <t>Escolas Henrique Sommer</t>
  </si>
  <si>
    <t>Total</t>
  </si>
  <si>
    <t>ABRIL</t>
  </si>
  <si>
    <t>MAIO</t>
  </si>
  <si>
    <t>JI Bouça</t>
  </si>
  <si>
    <t>JUNHO</t>
  </si>
  <si>
    <t>Escolas José Saraiva</t>
  </si>
  <si>
    <t>JULHO</t>
  </si>
  <si>
    <t>AGOSTO</t>
  </si>
  <si>
    <t>SETEMBRO</t>
  </si>
  <si>
    <t>Barosa</t>
  </si>
  <si>
    <t>JI Gândara dos Olivais</t>
  </si>
  <si>
    <t>EB1 Cruz D'Areia</t>
  </si>
  <si>
    <t>EB1 Reixida</t>
  </si>
  <si>
    <t>EB1 Touria</t>
  </si>
  <si>
    <t>EB1 Vidigal</t>
  </si>
  <si>
    <t>Milagres</t>
  </si>
  <si>
    <t>EB1 Courelas</t>
  </si>
  <si>
    <t>EB1 Monte Redondo</t>
  </si>
  <si>
    <t>OUTUBRO</t>
  </si>
  <si>
    <t>EB1 Caranguejeira</t>
  </si>
  <si>
    <t>EB1 Capuchos</t>
  </si>
  <si>
    <t>Henrique Sommner</t>
  </si>
  <si>
    <t>NOVEMBRO</t>
  </si>
  <si>
    <t>Henrique Sommer</t>
  </si>
  <si>
    <t>DEZEMBRO</t>
  </si>
  <si>
    <t>Material Recolhido</t>
  </si>
  <si>
    <t>Total de Intervenções por 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</si>
  <si>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</si>
  <si>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</si>
  <si>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</si>
  <si>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</si>
  <si>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</si>
  <si>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</si>
  <si>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</si>
  <si>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</si>
  <si>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</si>
  <si>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</si>
  <si>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</si>
  <si>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</si>
  <si>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Totais</t>
  </si>
  <si>
    <t>Rainha St. Isabel</t>
  </si>
  <si>
    <t>Correia Mateus</t>
  </si>
  <si>
    <t>Caranguejeira - Santa Catarina da Serra</t>
  </si>
  <si>
    <t>Domingos Sequeira</t>
  </si>
  <si>
    <t>D. Dinis</t>
  </si>
  <si>
    <t>Total de Intervenções</t>
  </si>
  <si>
    <t>Tipo</t>
  </si>
  <si>
    <t>Escola</t>
  </si>
  <si>
    <t>JI Moita da Roda</t>
  </si>
  <si>
    <t>EB1 Telheiro</t>
  </si>
  <si>
    <t>EB1 Branca</t>
  </si>
  <si>
    <t>EB1 Moita da Roda</t>
  </si>
  <si>
    <t>EB1 Várzea</t>
  </si>
  <si>
    <t>EB1 Milagres</t>
  </si>
  <si>
    <t>EB1 Vale da Bajouca</t>
  </si>
  <si>
    <t>EB1 Ortigosa</t>
  </si>
  <si>
    <t>EB1 Chãs</t>
  </si>
  <si>
    <t>EB1 Martinela</t>
  </si>
  <si>
    <t>EB1 Souto da Carpalhosa</t>
  </si>
  <si>
    <t>EB1 Moinhos de Carvide</t>
  </si>
  <si>
    <t>JI Riba D'Aves</t>
  </si>
  <si>
    <t>EB1 Gândara dos Olivais</t>
  </si>
  <si>
    <t>EB1 Monte Real</t>
  </si>
  <si>
    <t>JI Barracão</t>
  </si>
  <si>
    <t>EB1 Vale Sumo</t>
  </si>
  <si>
    <t>EB1 Amor</t>
  </si>
  <si>
    <t>EB1 Outeiro da Fonte</t>
  </si>
  <si>
    <t>EB1 Vale da Pedra</t>
  </si>
  <si>
    <t>EB1 Carvide</t>
  </si>
  <si>
    <t>EB1 Andrinos</t>
  </si>
  <si>
    <t>EB1 Carreira</t>
  </si>
  <si>
    <t>Agrup.</t>
  </si>
  <si>
    <t>OBS</t>
  </si>
  <si>
    <t xml:space="preserve"> </t>
  </si>
  <si>
    <t>STATUS</t>
  </si>
  <si>
    <t>Número de Série / Inventário</t>
  </si>
  <si>
    <t>Status</t>
  </si>
  <si>
    <t>Ludoteca das Almoinhas</t>
  </si>
  <si>
    <t>EB1 Chã da Laranjeira</t>
  </si>
  <si>
    <t>JI Loureira</t>
  </si>
  <si>
    <t>JI Barosa</t>
  </si>
  <si>
    <t>EB1 Loureira</t>
  </si>
  <si>
    <t>JI Bajouca</t>
  </si>
  <si>
    <t>JI Ruivaqueira</t>
  </si>
  <si>
    <t>JI Outeiro da Fonte</t>
  </si>
  <si>
    <t>JI Monte Redondo</t>
  </si>
  <si>
    <t>EB1 Alcaidaria</t>
  </si>
  <si>
    <t>JI Marinheiros</t>
  </si>
  <si>
    <t>JI Colmeias</t>
  </si>
  <si>
    <t>JI Bidoeira de Cima</t>
  </si>
  <si>
    <t>JI Coucinheira</t>
  </si>
  <si>
    <t>JI Vale da Pedra</t>
  </si>
  <si>
    <t>Equipamento Abatido</t>
  </si>
  <si>
    <t>Abatido em</t>
  </si>
  <si>
    <t>EB1 Ervedeira</t>
  </si>
  <si>
    <t>JI Barreira</t>
  </si>
  <si>
    <t>EB1 Pinheiros</t>
  </si>
  <si>
    <t>Casos Pendentes</t>
  </si>
  <si>
    <t>Tarefas Pendentes</t>
  </si>
  <si>
    <t>Resolvido Em</t>
  </si>
  <si>
    <t>Pendente</t>
  </si>
  <si>
    <t>Tratado</t>
  </si>
  <si>
    <t>Resolvido</t>
  </si>
  <si>
    <t>Contactos nas Escolas</t>
  </si>
  <si>
    <t>Agrupamento Rainha Santa Isabel</t>
  </si>
  <si>
    <t>Nome</t>
  </si>
  <si>
    <t>telefone</t>
  </si>
  <si>
    <t>telemovel</t>
  </si>
  <si>
    <t>email</t>
  </si>
  <si>
    <t>função</t>
  </si>
  <si>
    <t>EB1 Coimbrão</t>
  </si>
  <si>
    <t>Auxiliar</t>
  </si>
  <si>
    <t>Srª Fátima</t>
  </si>
  <si>
    <t>EB1 Sismaria e EB1 Lavegadas</t>
  </si>
  <si>
    <t>CE Monte Redondo</t>
  </si>
  <si>
    <t>Monte Redondo</t>
  </si>
  <si>
    <t>Centro Escolar Dr. Correia Mateus</t>
  </si>
  <si>
    <t>Centro Escolar Maceira</t>
  </si>
  <si>
    <t>Maceira</t>
  </si>
  <si>
    <t>EB1 A-do-Barbas</t>
  </si>
  <si>
    <t>EB1 A-dos-Pretos</t>
  </si>
  <si>
    <t>EB1 Andreus</t>
  </si>
  <si>
    <t>EB1 Arnal</t>
  </si>
  <si>
    <t>EB1 Barracão</t>
  </si>
  <si>
    <t>EB1 Barreira Nº 2 - Marvila</t>
  </si>
  <si>
    <t>Bidoeira de Cima</t>
  </si>
  <si>
    <t>EB1 Boa Vista</t>
  </si>
  <si>
    <t>Boa Vista</t>
  </si>
  <si>
    <t>EB1 Bouça de Lá</t>
  </si>
  <si>
    <t>EB1 Caldelas</t>
  </si>
  <si>
    <t>EB1 Campo Amarelo</t>
  </si>
  <si>
    <t>Carreira</t>
  </si>
  <si>
    <t>Carvide</t>
  </si>
  <si>
    <t>EB1 Casal da Quinta</t>
  </si>
  <si>
    <t>EB1 Casal Novo - Monte Redondo</t>
  </si>
  <si>
    <t>EB1 Cavalinhos</t>
  </si>
  <si>
    <t>Santa Eufêmea</t>
  </si>
  <si>
    <t>Souto da Carpalhosa</t>
  </si>
  <si>
    <t>EB1 Chaínça</t>
  </si>
  <si>
    <t>Regueira de Pontes</t>
  </si>
  <si>
    <t>EB1 Cortes</t>
  </si>
  <si>
    <t>EB1 Costas</t>
  </si>
  <si>
    <t>EB1 Coucinheira</t>
  </si>
  <si>
    <t>EB1 Famalicão</t>
  </si>
  <si>
    <t>EB1 Figueiras Nº1</t>
  </si>
  <si>
    <t>EB1 Figueiras Nº2</t>
  </si>
  <si>
    <t>EB1 Fonte Cova</t>
  </si>
  <si>
    <t>EB1 Lavegadas</t>
  </si>
  <si>
    <t>Santa Catarina da Serra</t>
  </si>
  <si>
    <t>EB1 Maceira Liz</t>
  </si>
  <si>
    <t>EB1 Maceirinha</t>
  </si>
  <si>
    <t>EB1 Mata dos Milagres</t>
  </si>
  <si>
    <t>EB1 Memória</t>
  </si>
  <si>
    <t>Memória</t>
  </si>
  <si>
    <t>EB1 Mouratos</t>
  </si>
  <si>
    <t>EB1 Outeiros da Fonte</t>
  </si>
  <si>
    <t>EB1 Palmeiria</t>
  </si>
  <si>
    <t>EB1 Paulo VI</t>
  </si>
  <si>
    <t>EB1 Pedrógão</t>
  </si>
  <si>
    <t>EB1 Pernelhas</t>
  </si>
  <si>
    <t>EB1 Pocariça</t>
  </si>
  <si>
    <t>EB1 Porto Carro</t>
  </si>
  <si>
    <t>EB1 Pousos Estrada Nacional</t>
  </si>
  <si>
    <t>EB1 Quinta Alçada</t>
  </si>
  <si>
    <t>EB1 Quintas do Sirol</t>
  </si>
  <si>
    <t>EB1 Raposeira</t>
  </si>
  <si>
    <t>EB1 Regueira de Pontes</t>
  </si>
  <si>
    <t>EB1 Santa Catarina</t>
  </si>
  <si>
    <t>EB1 Sismaria</t>
  </si>
  <si>
    <t>EB1 Sismaria - MR</t>
  </si>
  <si>
    <t>EB1 Souto de Cima</t>
  </si>
  <si>
    <t>EB1 Vale do Horto</t>
  </si>
  <si>
    <t>EB1 Vale Salgueiro</t>
  </si>
  <si>
    <t>EB1 Várzeas</t>
  </si>
  <si>
    <t>Cod_escola</t>
  </si>
  <si>
    <t>Cod_ Agrupamento</t>
  </si>
  <si>
    <t xml:space="preserve">Agrupamento </t>
  </si>
  <si>
    <t>Cod. Freguesia</t>
  </si>
  <si>
    <t>JI A-Do-Barbas</t>
  </si>
  <si>
    <t>JI A-Dos-Pretos</t>
  </si>
  <si>
    <t>JI Agodim</t>
  </si>
  <si>
    <t>JI Amor</t>
  </si>
  <si>
    <t>JI Andrinos</t>
  </si>
  <si>
    <t>JI Arnal</t>
  </si>
  <si>
    <t>JI Bairro das Almoinhas</t>
  </si>
  <si>
    <t>JI Barreiros</t>
  </si>
  <si>
    <t>JI Bidoeira de Baixo</t>
  </si>
  <si>
    <t>JI Boa Vista</t>
  </si>
  <si>
    <t>JI Caldelas</t>
  </si>
  <si>
    <t>JI Capuchos</t>
  </si>
  <si>
    <t>JI Caranguejeira</t>
  </si>
  <si>
    <t>JI Carreira</t>
  </si>
  <si>
    <t>JI Cavalinhos</t>
  </si>
  <si>
    <t>JI Coimbrão</t>
  </si>
  <si>
    <t>JI Cortes</t>
  </si>
  <si>
    <t>JI Costas</t>
  </si>
  <si>
    <t>JI Cruz D'Areia</t>
  </si>
  <si>
    <t>JI Ervedeira</t>
  </si>
  <si>
    <t>JI Grou</t>
  </si>
  <si>
    <t>JI Guimarota</t>
  </si>
  <si>
    <t>JI Janardo</t>
  </si>
  <si>
    <t>JI Leiria - Capuchos</t>
  </si>
  <si>
    <t>JI Maceira Liz</t>
  </si>
  <si>
    <t>JI Maceirinha</t>
  </si>
  <si>
    <t>JI Marrazes N.º 1</t>
  </si>
  <si>
    <t>JI Marrazes N.º 2</t>
  </si>
  <si>
    <t>JI Mata</t>
  </si>
  <si>
    <t>JI Memória</t>
  </si>
  <si>
    <t>JI Milagres</t>
  </si>
  <si>
    <t>JI Monte Real</t>
  </si>
  <si>
    <t>JI Olivais</t>
  </si>
  <si>
    <t>JI Outeirtos da Gândara</t>
  </si>
  <si>
    <t>JI Palmeiria</t>
  </si>
  <si>
    <t>JI Parceiros</t>
  </si>
  <si>
    <t>JI Pedrogão</t>
  </si>
  <si>
    <t>JI Pinheiros</t>
  </si>
  <si>
    <t>JI Pocariça</t>
  </si>
  <si>
    <t>JI Porto do Carro</t>
  </si>
  <si>
    <t>JI Pousos</t>
  </si>
  <si>
    <t>JI Quinta da Sardinha</t>
  </si>
  <si>
    <t>JI Regueira de Pontes</t>
  </si>
  <si>
    <t>JI Santa Eufémia</t>
  </si>
  <si>
    <t>JI Souto da Carpalhosa</t>
  </si>
  <si>
    <t>JI Souto do Meio</t>
  </si>
  <si>
    <t>JI Soutocico</t>
  </si>
  <si>
    <t>JI Vidigal</t>
  </si>
  <si>
    <t>CodESCOLA</t>
  </si>
  <si>
    <t>CodDGRHE</t>
  </si>
  <si>
    <t>CodGEPE</t>
  </si>
  <si>
    <t>Morada</t>
  </si>
  <si>
    <t>Localidade</t>
  </si>
  <si>
    <t>CodAgrupamento</t>
  </si>
  <si>
    <t>NomeDoAgrupamento</t>
  </si>
  <si>
    <t>Escola Básica do 1.º Ciclo de Caldelas</t>
  </si>
  <si>
    <t>Rua de Fatima</t>
  </si>
  <si>
    <t>Caldelas</t>
  </si>
  <si>
    <t>Escolas de Caranguejeira</t>
  </si>
  <si>
    <t>Escola Básica do 1.º Ciclo de Caranguejeira</t>
  </si>
  <si>
    <t>Rua Padre Joaquim J. Pereira, nº 6</t>
  </si>
  <si>
    <t>Escola Básica do 1.º Ciclo de Caxieira</t>
  </si>
  <si>
    <t>Rua Principal</t>
  </si>
  <si>
    <t>Caxieira</t>
  </si>
  <si>
    <t>Santa Eufémia</t>
  </si>
  <si>
    <t>Escola Básica do 1.º Ciclo de Palmeiria</t>
  </si>
  <si>
    <t>Rua João de Deus</t>
  </si>
  <si>
    <t>Palmeiria</t>
  </si>
  <si>
    <t>Escola Básica do 1.º Ciclo de Quintas do Sirol</t>
  </si>
  <si>
    <t>Quintas do Sirol</t>
  </si>
  <si>
    <t>Escola Básica do 1.º Ciclo de Souto de Cima</t>
  </si>
  <si>
    <t>Rua da Aboleira</t>
  </si>
  <si>
    <t>Souto de Cima</t>
  </si>
  <si>
    <t>Escola Básica do 1.º Ciclo de Agodim</t>
  </si>
  <si>
    <t>Rua Central</t>
  </si>
  <si>
    <t>Agodim</t>
  </si>
  <si>
    <t>Escola Básica do 1.º Ciclo de Barracão</t>
  </si>
  <si>
    <t>Rua da Escola</t>
  </si>
  <si>
    <t>Barracão</t>
  </si>
  <si>
    <t>Escola Básica do 1.º Ciclo de Bidoeira de Cima</t>
  </si>
  <si>
    <t>Escola Básica do 1.º Ciclo de Boavista</t>
  </si>
  <si>
    <t>Escola Básica do 1.º Ciclo de Bouça</t>
  </si>
  <si>
    <t>Bouça</t>
  </si>
  <si>
    <t>Escola Básica do 1.º Ciclo de Casal da Quinta</t>
  </si>
  <si>
    <t>Rua Sr. dos Milagres</t>
  </si>
  <si>
    <t>Casal da Quinta</t>
  </si>
  <si>
    <t>Escola Básica do 1.º Ciclo de Machados</t>
  </si>
  <si>
    <t>Rua do Campo da Bola</t>
  </si>
  <si>
    <t>Machados</t>
  </si>
  <si>
    <t>Escola Básica do 1.º Ciclo de Mata</t>
  </si>
  <si>
    <t>R. da Escola Nova</t>
  </si>
  <si>
    <t>Mata dos Milagres</t>
  </si>
  <si>
    <t>Escola Básica do 1.º Ciclo de Memória</t>
  </si>
  <si>
    <t>Rua 11 de Julho n.º 999</t>
  </si>
  <si>
    <t>Escola Básica do 1.º Ciclo de Milagres</t>
  </si>
  <si>
    <t>Rua do Bilhão, nº 471</t>
  </si>
  <si>
    <t>Escola Básica do 1.º Ciclo de Raposeira</t>
  </si>
  <si>
    <t>Raposeira</t>
  </si>
  <si>
    <t>Escola Básica do 1.º Ciclo do Centro de Figueiras</t>
  </si>
  <si>
    <t>Rua Nossa Srª de Fátima</t>
  </si>
  <si>
    <t>Figueiras</t>
  </si>
  <si>
    <t>Escola Básica do 1.º Ciclo de Amarela (Leiria)</t>
  </si>
  <si>
    <t>Av. Marquês de Pombal</t>
  </si>
  <si>
    <t>Escolas de D. Dinis</t>
  </si>
  <si>
    <t>Escola Básica do 1.º Ciclo de Arrabalde</t>
  </si>
  <si>
    <t>R. Pero Alvito</t>
  </si>
  <si>
    <t>Escola Básica do 1.º Ciclo de Barosa</t>
  </si>
  <si>
    <t>Moinhos da Barosa</t>
  </si>
  <si>
    <t>Escola Básica do 1.º Ciclo de Branca</t>
  </si>
  <si>
    <t>Lg. Rainha Stª Isabel</t>
  </si>
  <si>
    <t>Escola Básica do 1.º Ciclo de Capuchos</t>
  </si>
  <si>
    <t>Rua Dr. João Caetano N. Guerreiro</t>
  </si>
  <si>
    <t>Escola Básica do 1.º Ciclo de Guimarota</t>
  </si>
  <si>
    <t>Guimarota</t>
  </si>
  <si>
    <t>Escola Básica do 1.º Ciclo de A-do-Barbas</t>
  </si>
  <si>
    <t>R. Principal</t>
  </si>
  <si>
    <t>A-do-Barbas</t>
  </si>
  <si>
    <t>Escolas de Maceira</t>
  </si>
  <si>
    <t>Escola Básica do 1.º Ciclo de A-dos-Pretos</t>
  </si>
  <si>
    <t xml:space="preserve">Estrada da Marinha Grande </t>
  </si>
  <si>
    <t>A-dos-Pretos</t>
  </si>
  <si>
    <t>Escola Básica do 1.º Ciclo de Cavalinhos</t>
  </si>
  <si>
    <t>R. dos Fetais</t>
  </si>
  <si>
    <t>Cavalinhos</t>
  </si>
  <si>
    <t>Escola Básica do 1.º Ciclo de Costas</t>
  </si>
  <si>
    <t xml:space="preserve">R. da Escola </t>
  </si>
  <si>
    <t>Costa de Baixo</t>
  </si>
  <si>
    <t>Escola Básica do 1.º Ciclo de Maceirinha</t>
  </si>
  <si>
    <t>R. do Guilherme</t>
  </si>
  <si>
    <t>Maceirinha</t>
  </si>
  <si>
    <t>Escola Básica do 1.º Ciclo de Pocariça</t>
  </si>
  <si>
    <t>R. da Escola</t>
  </si>
  <si>
    <t>Pocariça</t>
  </si>
  <si>
    <t>Escola Básica do 1.º Ciclo de Porto do Carro</t>
  </si>
  <si>
    <t>R. da Capela</t>
  </si>
  <si>
    <t>Porto Carro</t>
  </si>
  <si>
    <t>Escola Básica do 1.º Ciclo n.º 1 de Maceira</t>
  </si>
  <si>
    <t>R. Cónego P. da Costa</t>
  </si>
  <si>
    <t>Arnal</t>
  </si>
  <si>
    <t>Escola Básica do 1.º Ciclo n.º 2 de Maceira</t>
  </si>
  <si>
    <t>R. Dr. Carlos Pontes Leça</t>
  </si>
  <si>
    <t>Escola Básica do 1.º Ciclo de Amor</t>
  </si>
  <si>
    <t>R. da Base Aérea, nº. 30</t>
  </si>
  <si>
    <t>Escola Básica do 1.º Ciclo de Barreiros</t>
  </si>
  <si>
    <t>Rua Miguel Gaspar</t>
  </si>
  <si>
    <t>Barreiros</t>
  </si>
  <si>
    <t>Escola Básica do 1.º Ciclo de Casal dos Claros</t>
  </si>
  <si>
    <t>Estrada Principal- Casal dos Claros</t>
  </si>
  <si>
    <t>Escola Básica do 1.º Ciclo de Casal Novo (Amor)</t>
  </si>
  <si>
    <t>Casal Novo</t>
  </si>
  <si>
    <t>Escola Básica do 1.º Ciclo de Chãs</t>
  </si>
  <si>
    <t>Rua Nossa Senhora das Necessidades, nº 258</t>
  </si>
  <si>
    <t>Chãs</t>
  </si>
  <si>
    <t>Escola Básica do 1.º Ciclo de Coucinheira</t>
  </si>
  <si>
    <t>Estr. Municipal</t>
  </si>
  <si>
    <t>Coucinheira</t>
  </si>
  <si>
    <t>Escola Básica do 1.º Ciclo de Gândara dos Olivais</t>
  </si>
  <si>
    <t>R. da Sardoa</t>
  </si>
  <si>
    <t>Gândara dos Olivais</t>
  </si>
  <si>
    <t>Escola Básica do 1.º Ciclo de Marinheiros</t>
  </si>
  <si>
    <t>Marinheiros</t>
  </si>
  <si>
    <t>Escola Básica do 1.º Ciclo de Marrazes</t>
  </si>
  <si>
    <t>R. Prof. Joaquina C. Carvalho</t>
  </si>
  <si>
    <t>Escola Básica do 1.º Ciclo de Pinheiros</t>
  </si>
  <si>
    <t>R. da Catraia</t>
  </si>
  <si>
    <t>Pinheiros</t>
  </si>
  <si>
    <t>Escola Básica do 1.º Ciclo de Quinta do Alçada</t>
  </si>
  <si>
    <t>Quinta do Alçada</t>
  </si>
  <si>
    <t>Escola Básica do 1.º Ciclo de Regueira de Pontes</t>
  </si>
  <si>
    <t>R. do Carril</t>
  </si>
  <si>
    <t>Escola Básica do 1.º Ciclo de Sismaria da Gândara</t>
  </si>
  <si>
    <t>R. Bernardo Oliveira Gordalina</t>
  </si>
  <si>
    <t>Sismaria da Gândara</t>
  </si>
  <si>
    <t>Escola Básica do 1.º Ciclo de Bajouca</t>
  </si>
  <si>
    <t>Estr. Municipal 531</t>
  </si>
  <si>
    <t>Escolas de Rainha Santa Isabel</t>
  </si>
  <si>
    <t>Escola Básica do 1.º Ciclo de Carreira</t>
  </si>
  <si>
    <t>Rua Principal - Carreira</t>
  </si>
  <si>
    <t>Escola Básica do 1.º Ciclo de Carvide</t>
  </si>
  <si>
    <t>R. de S. Lourenço, nº 29</t>
  </si>
  <si>
    <t>Escola Básica do 1.º Ciclo de Chã da Laranjeira</t>
  </si>
  <si>
    <t>Chã da Laranjeira</t>
  </si>
  <si>
    <t>Escola Básica do 1.º Ciclo de Coimbrão</t>
  </si>
  <si>
    <t>R. D. Dinis de Melo e Castro</t>
  </si>
  <si>
    <t>Escola Básica do 1.º Ciclo de Ervideira</t>
  </si>
  <si>
    <t>Ervideira</t>
  </si>
  <si>
    <t>Escola Básica do 1.º Ciclo de Lameira</t>
  </si>
  <si>
    <t>Lameira</t>
  </si>
  <si>
    <t>Escola Básica do 1.º Ciclo de Lavegadas</t>
  </si>
  <si>
    <t>R. da Escola, nº 2</t>
  </si>
  <si>
    <t>Lavegadas</t>
  </si>
  <si>
    <t>Escola Básica do 1.º Ciclo de Moinhos de Carvide</t>
  </si>
  <si>
    <t>Rua Principal Nº 6</t>
  </si>
  <si>
    <t>Moinhos de Carvide</t>
  </si>
  <si>
    <t>Escola Básica do 1.º Ciclo de Moita da Roda</t>
  </si>
  <si>
    <t>Moita da Roda</t>
  </si>
  <si>
    <t>Escola Básica do 1.º Ciclo de Monte Redondo</t>
  </si>
  <si>
    <t>Estr. Nacional 109-9</t>
  </si>
  <si>
    <t>Escola Básica do 1.º Ciclo de Ortigosa</t>
  </si>
  <si>
    <t>Escola Básica do 1.º Ciclo de Outeiro da Fonte</t>
  </si>
  <si>
    <t>R. da Escola nº 350</t>
  </si>
  <si>
    <t>Outeiro da Fonte</t>
  </si>
  <si>
    <t>Escola Básica do 1.º Ciclo de Serra Porto de Urso</t>
  </si>
  <si>
    <t>R. Do Cerro</t>
  </si>
  <si>
    <t>Serra Do Porto Do Urso</t>
  </si>
  <si>
    <t>Escola Básica do 1.º Ciclo de Sismaria</t>
  </si>
  <si>
    <t>R. José Duarte Rolo Júnior, 68</t>
  </si>
  <si>
    <t>Sismaria</t>
  </si>
  <si>
    <t>Escola Básica do 1.º Ciclo de Souto da Carpalhosa</t>
  </si>
  <si>
    <t>R. P Maria José Fernandes</t>
  </si>
  <si>
    <t>Souto do Carpalhosa</t>
  </si>
  <si>
    <t>Escola Básica do 1.º Ciclo de Vale da Bajouca</t>
  </si>
  <si>
    <t>Rua D. João Pereira Venâncio, 8</t>
  </si>
  <si>
    <t>Vale da Bajouca</t>
  </si>
  <si>
    <t>Escola Básica do 1.º Ciclo de Vale da Pedra</t>
  </si>
  <si>
    <t>Vale da Pedra</t>
  </si>
  <si>
    <t>Escola Básica do 1.º Ciclo de Várzeas</t>
  </si>
  <si>
    <t>Várzeas</t>
  </si>
  <si>
    <t>Escola Básica do 1.º Ciclo n.º 2 de Monte Real</t>
  </si>
  <si>
    <t>R. Prof. D. Piedade L. Serra</t>
  </si>
  <si>
    <t>Escola Básica do 1.º Ciclo de Chainça</t>
  </si>
  <si>
    <t>Rua das Trísias</t>
  </si>
  <si>
    <t>Chainça</t>
  </si>
  <si>
    <t>Escolas de Santa Catarina da Serra</t>
  </si>
  <si>
    <t>Escola Básica do 1.º Ciclo de Loureira</t>
  </si>
  <si>
    <t>Loureira 2495-122 Santa Catarina da Serra</t>
  </si>
  <si>
    <t>Loureira</t>
  </si>
  <si>
    <t>Escola Básica do 1.º Ciclo de Vale Sumo</t>
  </si>
  <si>
    <t>Rua Barão Salgueiro</t>
  </si>
  <si>
    <t>Vale Sumo - Olivais</t>
  </si>
  <si>
    <t>Escola Básica do 1.º Ciclo da Estrada Nacional</t>
  </si>
  <si>
    <t>Estrada Nacional</t>
  </si>
  <si>
    <t>Escola Básica do 1.º Ciclo de Andrinos</t>
  </si>
  <si>
    <t>Estr. Nacional 350</t>
  </si>
  <si>
    <t>Andrinos</t>
  </si>
  <si>
    <t>Escola Básica do 1.º Ciclo de Arrabal</t>
  </si>
  <si>
    <t>R. João de Deus</t>
  </si>
  <si>
    <t>Escola Básica do 1.º Ciclo de Courelas</t>
  </si>
  <si>
    <t>R. 25 de Abril</t>
  </si>
  <si>
    <t>Escola Básica do 1.º Ciclo de Martinela</t>
  </si>
  <si>
    <t>Martinela</t>
  </si>
  <si>
    <t>Escola Básica do 1.º Ciclo de Paulo VI (Pousos)</t>
  </si>
  <si>
    <t>R. Paulo VI</t>
  </si>
  <si>
    <t>Escola Básica do 1.º Ciclo de Touria</t>
  </si>
  <si>
    <t>R. do Bailadouro</t>
  </si>
  <si>
    <t>Touria</t>
  </si>
  <si>
    <t>Escola Básica do 1.º Ciclo de Várzea</t>
  </si>
  <si>
    <t>Várzea</t>
  </si>
  <si>
    <t>Escola Básica do 1.º Ciclo de Vidigal</t>
  </si>
  <si>
    <t>Rua das Flores</t>
  </si>
  <si>
    <t>Vidigal</t>
  </si>
  <si>
    <t>Escola Básica do 1.º Ciclo com Jardim de Infância da Cruz de Areia (Barreira)</t>
  </si>
  <si>
    <t>R. Poeta José Marques da Cruz</t>
  </si>
  <si>
    <t>Cruz de Areia</t>
  </si>
  <si>
    <t>Escola Básica do 1.º Ciclo de Andreus</t>
  </si>
  <si>
    <t>R. Mata do Capitão</t>
  </si>
  <si>
    <t>Andreus</t>
  </si>
  <si>
    <t>Escola Básica do 1.º Ciclo de Azóia</t>
  </si>
  <si>
    <t>R. Stª Catarina</t>
  </si>
  <si>
    <t>Azóia</t>
  </si>
  <si>
    <t>Escola Básica do 1.º Ciclo de Cortes</t>
  </si>
  <si>
    <t>R. João Soares</t>
  </si>
  <si>
    <t>Escola Básica do 1.º Ciclo de Marvila</t>
  </si>
  <si>
    <t>Caminho das Barruges</t>
  </si>
  <si>
    <t>Marvila</t>
  </si>
  <si>
    <t>Escola Básica do 1.º Ciclo de Parceiros</t>
  </si>
  <si>
    <t>Escola Básica do 1.º Ciclo de Pernelhas</t>
  </si>
  <si>
    <t>Pernelhas Parceiros</t>
  </si>
  <si>
    <t>Pernelhas</t>
  </si>
  <si>
    <t>Escola Básica do 1.º Ciclo de Reixida</t>
  </si>
  <si>
    <t>Portelas</t>
  </si>
  <si>
    <t>Reixida</t>
  </si>
  <si>
    <t>Escola Básica do 1.º Ciclo de Telheiro</t>
  </si>
  <si>
    <t>R. Imaculada Conceição</t>
  </si>
  <si>
    <t>Telheiro</t>
  </si>
  <si>
    <t>Escola Básica do 1.º Ciclo de Vale do Horto</t>
  </si>
  <si>
    <t>R. 13 de Abril, nº 758</t>
  </si>
  <si>
    <t>Vale do Horto</t>
  </si>
  <si>
    <t>Escola Básica do 1º Ciclo Correia Mateus</t>
  </si>
  <si>
    <t>CE Parceiros</t>
  </si>
  <si>
    <t>JI Azoia</t>
  </si>
  <si>
    <t>JI Magueigia</t>
  </si>
  <si>
    <t>EB1 Souto</t>
  </si>
  <si>
    <t>Escolas Hentique Sommer</t>
  </si>
  <si>
    <t>,</t>
  </si>
  <si>
    <t>Escolas da Maceira</t>
  </si>
  <si>
    <t>Assistências Nas Escolas 2023</t>
  </si>
  <si>
    <t>JI Quinta do Amparo</t>
  </si>
  <si>
    <t>T]ecnico</t>
  </si>
  <si>
    <t>Portatil "Classemate PC" (rato tactil avariado , não liga)</t>
  </si>
  <si>
    <t>Recolhi o Portatil nº 130748 (bateria viciada não ligava) e substitui por o 130734)</t>
  </si>
  <si>
    <t>JI Courelas</t>
  </si>
  <si>
    <t>10 computadores fixos INSYS</t>
  </si>
  <si>
    <t>10 computadores ficos INSYS</t>
  </si>
  <si>
    <t>Substituição de Access Point</t>
  </si>
  <si>
    <t>Aberto pedido de reparação da internet junto da assistência técnica da Altice, substituição de Portátil</t>
  </si>
  <si>
    <t>configuração do portátil da VPN das auxiliares</t>
  </si>
  <si>
    <t>Eb1 Caxieira</t>
  </si>
  <si>
    <t>reinstalação e configuração de VPN, resoluição de problemas de acesso á internet num pc fixo</t>
  </si>
  <si>
    <t>Eb1 Bidoeira de Cima</t>
  </si>
  <si>
    <t>avaliação de necessidades de rede wifi para a realização de  projeto de programação em contexto de sala de aula</t>
  </si>
  <si>
    <t>avaliação de necessidades de equipamento para passagem de rede para o pavilhão dfas AAAF</t>
  </si>
  <si>
    <t>Assistências Nas Escolas 2026</t>
  </si>
  <si>
    <t>recolha de portátil para reparação</t>
  </si>
  <si>
    <t>formatação e instalação de todo o software do portátil do JI</t>
  </si>
  <si>
    <t>recolha de computador para formatação e instalação de todo o software</t>
  </si>
  <si>
    <t>recolha de pc para reparação, ligação de quadro interativo, configuração de impressoras</t>
  </si>
  <si>
    <t>Configuração de vpn</t>
  </si>
  <si>
    <t>Eb1 Machados</t>
  </si>
  <si>
    <t>resolução de anomalias na internet, configuração de 2 access points, substituição do telefone</t>
  </si>
  <si>
    <t>recolha de pc para substituição de disco</t>
  </si>
  <si>
    <t>Ji Loureira</t>
  </si>
  <si>
    <t>Verificação de anomalias no funcionamento do sftware de VPN</t>
  </si>
  <si>
    <t>recolha de computador para reparação</t>
  </si>
  <si>
    <t>Reparação de acesso à internet num computador fixo</t>
  </si>
  <si>
    <t>Eb1 Monte Redondo</t>
  </si>
  <si>
    <t>entrega de computador reparado</t>
  </si>
  <si>
    <t>avaliação das necessidades informáticas na sala 2, verificação de anomalias na vpn, e verificação de trackpad num  portátil</t>
  </si>
  <si>
    <t>Eb1 Andrinos</t>
  </si>
  <si>
    <t>Eb1 Souto de cima</t>
  </si>
  <si>
    <t>Recolha de 4 computadores para substituição de disscos, formatação e instalação de software</t>
  </si>
  <si>
    <t>entrega de 4 computadoes reparado e instalação de um monitor</t>
  </si>
  <si>
    <t>Eb1 Casal Novo</t>
  </si>
  <si>
    <t>Resolução de problemas no som do projetor</t>
  </si>
  <si>
    <t>resolução de problemas de rede, reinstalação de drive de impressora</t>
  </si>
  <si>
    <t>Instalação de swith e access point para expansão da wan ao novo pavilhão da biblioteca, reparação de arranque de pc</t>
  </si>
  <si>
    <t>Ji A-dos-pretos</t>
  </si>
  <si>
    <t>Eb1 Branca</t>
  </si>
  <si>
    <t>Eb1 Capuchos</t>
  </si>
  <si>
    <t>Recolha de dois comnputadores para subnstituir disco, formatação e instalação de software</t>
  </si>
  <si>
    <t>Entrega de 4 computadores reparados, configiuração de impressoras e acesso á redeqwireless</t>
  </si>
  <si>
    <t>Avaliação de necessidade de equipamentos de rede para reparação de avaria</t>
  </si>
  <si>
    <t>substituição de monitor,instalaçãod e adaptador HDMI e splitter em quadro iteractivo, aajuste nos cabos monitor para melhoria de imagem</t>
  </si>
  <si>
    <t>entrega de colunas novas</t>
  </si>
  <si>
    <t>configuração de acesso à impressora em todos os computadores</t>
  </si>
  <si>
    <t>resolução de problemas em dois quadros imnteractivos, ajustes de cabos e instalação de drives</t>
  </si>
  <si>
    <t>recolha de 5 computadores para substituição de disscos, formatação e instalação de software</t>
  </si>
  <si>
    <t>instalação de  extensor de rede na sala 2</t>
  </si>
  <si>
    <t>Eb1 Souto da Carpalhosa</t>
  </si>
  <si>
    <t>aferição de necessidades da mudança de linha do JI para o novo edificio</t>
  </si>
  <si>
    <t>aferição de necessidades de ligação da internet após obras</t>
  </si>
  <si>
    <t>entrega de monitor novo, para substituir o que estava partido</t>
  </si>
  <si>
    <t>substituição de módulo de memórias, atualização de sistema operativo</t>
  </si>
  <si>
    <t>Ano</t>
  </si>
  <si>
    <t>Pedidos Pendentes</t>
  </si>
  <si>
    <t>substituição de módulo de memórias, ativação do microsoft Office em 3 máquinas</t>
  </si>
  <si>
    <t>vedrificação de ligação á impressora</t>
  </si>
  <si>
    <t>Agrupamentos</t>
  </si>
  <si>
    <t>Hardware</t>
  </si>
  <si>
    <t>VPN</t>
  </si>
  <si>
    <t>Software</t>
  </si>
  <si>
    <t>Redes</t>
  </si>
  <si>
    <t>Intervenções por Agrup. Mês corrente</t>
  </si>
  <si>
    <t>Intervenções por Agrup.  TOTAL</t>
  </si>
  <si>
    <t>verificação do acesso à internet,  ligação dos equipamentos ativos de rede, e aberto pedido de intervenção junto do NSO</t>
  </si>
  <si>
    <t>instalação de switch para deistribuição da rede para os diversos access points</t>
  </si>
  <si>
    <t>TOTAL DE INTERVENÇÕES 2026</t>
  </si>
  <si>
    <t>AudioVisual</t>
  </si>
  <si>
    <t>Tot Hardware</t>
  </si>
  <si>
    <t>Tot Software</t>
  </si>
  <si>
    <t>Tot Redes</t>
  </si>
  <si>
    <t>Tot vpn</t>
  </si>
  <si>
    <t>Tot audiovisuais</t>
  </si>
  <si>
    <t>Audio-Visuais</t>
  </si>
  <si>
    <t>configuração de duas impressoras</t>
  </si>
  <si>
    <t>entrega e configuração vpn no portatil para acesso à plataforma de assiduidade</t>
  </si>
  <si>
    <t>EB1 Souto do Meio</t>
  </si>
  <si>
    <t>entrega de um pc reparado</t>
  </si>
  <si>
    <t>entrega de dois computadores reparados</t>
  </si>
  <si>
    <t>recolha de 4 computadores para reparação</t>
  </si>
  <si>
    <t>verificação do estado do acesso à internet, abertura de ticket junto do NSO</t>
  </si>
  <si>
    <t>verificação do estado do acesso à internet, abertura de ticket junto do  MEO EMPRESAS</t>
  </si>
  <si>
    <t>Ji A-dos-Pretos</t>
  </si>
  <si>
    <t>entrega de dois copmputadores reparados</t>
  </si>
  <si>
    <t>recolha de pc para substituição de disco e instalação de todo o software</t>
  </si>
  <si>
    <t>entrega e instalação de 4 computadores reparados</t>
  </si>
  <si>
    <t>verificação de acesso à interner, abertura de ticket junto da MEO EMPRESAS</t>
  </si>
  <si>
    <t>Pedidos Pendentes Ano corrente</t>
  </si>
  <si>
    <t>Ticket</t>
  </si>
  <si>
    <t>JI Santa Catarina da Serra</t>
  </si>
  <si>
    <t>cabos hdmi 15m</t>
  </si>
  <si>
    <t>instalação de access points em cada sala</t>
  </si>
  <si>
    <t>Cabo hdmi 15m</t>
  </si>
  <si>
    <t>recolha de monitor para substituição</t>
  </si>
  <si>
    <t>entrega de computador reparado e monitor</t>
  </si>
  <si>
    <t>ji Outeiro da Fonte</t>
  </si>
  <si>
    <t>verificação de anomalia no arranque de um pc</t>
  </si>
  <si>
    <t>ligação de pc à internet, aferição de necessidades de passagem de cabo de rede para a AAAF</t>
  </si>
  <si>
    <t>EB1 lameira</t>
  </si>
  <si>
    <t>passagem de cabo de rede entre salas, e comunicação ao NSO de falta de internet</t>
  </si>
  <si>
    <t>substituição de cabo de rede para a sala do R/C</t>
  </si>
  <si>
    <t>entrega de doias ratos</t>
  </si>
  <si>
    <t>entrega de 4 pc's reparados, instalalação de vpn, reconfiguração de ap's</t>
  </si>
  <si>
    <t>ajuste de memórias na board</t>
  </si>
  <si>
    <t>reinstalação e configuração do software da vpn em dois pcs</t>
  </si>
  <si>
    <t>recolha de computador para reparar</t>
  </si>
  <si>
    <t>EB1 A-Dos-Pretos</t>
  </si>
  <si>
    <t>recolha de pc para reparar</t>
  </si>
  <si>
    <t>Entrega de pc reparado, configuração de colunas</t>
  </si>
  <si>
    <t>entrega de pc reparado e conjunto novo (pc+monitor+teclado e rato)</t>
  </si>
  <si>
    <t>configuração de fotocopiadora em todos os computadores</t>
  </si>
  <si>
    <t>entrega de pc reparado</t>
  </si>
  <si>
    <t>substituir cablagem de rede de cat5 para cat6</t>
  </si>
  <si>
    <t>cravar fichas no cabo de rede que vai para o edificio das AAAF, reparação de cabo de rede que ligava à fotocopiadora</t>
  </si>
  <si>
    <t>reparação de pc</t>
  </si>
  <si>
    <t>reparação de pc, ajustes das memórias, limpeza interna</t>
  </si>
  <si>
    <t>instalação de switch para passar o sinal de rede para o edificio das AAAF</t>
  </si>
  <si>
    <t>substituição de emódulos de memória</t>
  </si>
  <si>
    <t>reinstalação de drives da fotocopiadora departamental, reconfigurasção de configurações de rede num pc</t>
  </si>
  <si>
    <t>avaliação das cominicações da internet, entrada da fibra na escola</t>
  </si>
  <si>
    <t>substituição de colunas</t>
  </si>
  <si>
    <t>instalação de acess point. Verificação dos modelos dos portateis com transformadores avariados</t>
  </si>
  <si>
    <t>EB1 Souto da carpalhosa</t>
  </si>
  <si>
    <t>veriricação do acesso à internet, ligação de impressora à rede da escola</t>
  </si>
  <si>
    <t>vrtificação do acesso à internet, e aferição das necessidades para distribuição</t>
  </si>
  <si>
    <t>entrega de 2 conjuntos (pc + monitor + teclado + rato)</t>
  </si>
  <si>
    <t>3 adaptadores HDMI -&gt; VGA</t>
  </si>
  <si>
    <t>emtrega de dois computadores reparados</t>
  </si>
  <si>
    <t>Eb1 Vidigal</t>
  </si>
  <si>
    <t>Verificação de audio do projetor</t>
  </si>
  <si>
    <t>Eb1 Carreira</t>
  </si>
  <si>
    <t>reparação de dois compuadores (memórias), reatabelecimento da internet no JI (fibra e power dfesligados), configuração de impressoras</t>
  </si>
  <si>
    <t>reset e reconfiguração dos access points das salas</t>
  </si>
  <si>
    <t>substituição de módulos de memória em 2 pc's</t>
  </si>
  <si>
    <t xml:space="preserve">verificação do acesso á internet </t>
  </si>
  <si>
    <t>verificação de acesso à internet</t>
  </si>
  <si>
    <t xml:space="preserve">EB1 Monte Real </t>
  </si>
  <si>
    <t>passagem de cavo de rede do router para o switch, reparação de 3 cabos de rede</t>
  </si>
  <si>
    <t>instalação de access point</t>
  </si>
  <si>
    <t>resolução de problemas no telefone</t>
  </si>
  <si>
    <t>substituição de telefone</t>
  </si>
  <si>
    <t>Ji Santa Catarina da Serra</t>
  </si>
  <si>
    <t>verificação do acesso á internet , configuração de impressora</t>
  </si>
  <si>
    <t>Instalação e configuração de impressora</t>
  </si>
  <si>
    <t>substituição de cabo do atendedor do telefone fixo</t>
  </si>
  <si>
    <t>verificação da ligação à internet, abertura de pedido de intervenção junto da Altice</t>
  </si>
  <si>
    <t>configuração de fotocopiadora em todos os pcs</t>
  </si>
  <si>
    <t>entrega de 2 conuntos completos (pc + monitor + teclado + rato)</t>
  </si>
  <si>
    <t>EB1 Santa Catarina da Serra</t>
  </si>
  <si>
    <t>recolha de pc para reparação</t>
  </si>
  <si>
    <t>recolha de pc para reparação e reconfiguração de VPN</t>
  </si>
  <si>
    <t>Entrega de conjunto (monitor + computador + teclado + rato)</t>
  </si>
  <si>
    <t>recolha de pc para reparação, entrega de pc reparado, configuração de quadros interativos</t>
  </si>
  <si>
    <t>instalação e configureação de vpn</t>
  </si>
  <si>
    <t>EB1 St. Catarina da Serra</t>
  </si>
  <si>
    <t>EB1 Monte redondo</t>
  </si>
  <si>
    <t>verificação do acesso à internet</t>
  </si>
  <si>
    <t>Serviço</t>
  </si>
  <si>
    <t>Divisão</t>
  </si>
  <si>
    <t>Recolha de hotspot Mercado Falcão</t>
  </si>
  <si>
    <t>Verificação de anomalias telefone psicóloga EB2/3 Carreira</t>
  </si>
  <si>
    <t>Aferição das ligações do relógio de ponto da Escola Domingos Sequeira</t>
  </si>
  <si>
    <t>Montagem de Posto de trabalho nos bombeiros Municipais</t>
  </si>
  <si>
    <t>substituição de posto de trabalho nos bombeiros municipais</t>
  </si>
  <si>
    <t>aferição de anomalia nos bastidor do banco de portugal</t>
  </si>
  <si>
    <t>ligação de equipamentos à rede na escola d. dinis</t>
  </si>
  <si>
    <t>aferição de problemas nas ligações de rede na escola d. dinis</t>
  </si>
  <si>
    <t>aferição da possibilidade de passagem de patch de fivra entre edificios na Eb1 Boidoeira</t>
  </si>
  <si>
    <t>instalação de imopressora na Junta de freguesia do Souto da Carpalhosa</t>
  </si>
  <si>
    <t>substituição de posto de trabalho no posto de turismo da junta de freguesia de monte real</t>
  </si>
  <si>
    <t>substituição de monitor na divisão de Ambiente</t>
  </si>
  <si>
    <t>Eb1 machados</t>
  </si>
  <si>
    <t>atualização e configuração de vpn</t>
  </si>
  <si>
    <t>EB1 Agpodim</t>
  </si>
  <si>
    <t>EB1 marinheiros</t>
  </si>
  <si>
    <t>Substituição de Switch e verificação de ligações à rede de todos os postos de trabalho e impressoras</t>
  </si>
  <si>
    <t>Instalação de impressora no Mercado Santana para os jornalistas do expresso</t>
  </si>
  <si>
    <t>BAG</t>
  </si>
  <si>
    <t>Expresso</t>
  </si>
  <si>
    <t>Mercado Santana</t>
  </si>
  <si>
    <t>resolução de acesso à internet, correção de ligações erradas no switch</t>
  </si>
  <si>
    <t>reparação de cabo de rede</t>
  </si>
  <si>
    <t>Substituição de dois teclados, verificação das ligações à rede nos postos de trabalho</t>
  </si>
  <si>
    <t>configuração de vpn</t>
  </si>
  <si>
    <t>Suporte</t>
  </si>
  <si>
    <t>Eb1 A-dos-Pretos</t>
  </si>
  <si>
    <t>reset de access point na ludoteca</t>
  </si>
  <si>
    <t>ludoteca</t>
  </si>
  <si>
    <t>substituição de pc. Reconfiguração de VPN</t>
  </si>
  <si>
    <t>Instalação de impressoras de talão nas piscinas</t>
  </si>
  <si>
    <t>verificação da ligação de pc a monitor, ajuste de cabos, no museu de leiria</t>
  </si>
  <si>
    <t>verificação do acesso á internet na biblioteca de praia do pedrogão</t>
  </si>
  <si>
    <t>verificação do acesso de fibra MEO no espaço de cidadão da JF da Bajouca</t>
  </si>
  <si>
    <t>verificação do acesso de fibra MEO no espaço de cidadão da JF de Monte Real</t>
  </si>
  <si>
    <t>verificação do acesso de fibra MEO no espaço de cidadão da JF de Coimbrão</t>
  </si>
  <si>
    <t>verificação do acesso de fibra MEO no espaço de cidadão da JF de Maceira</t>
  </si>
  <si>
    <t>verificação de utilização de pen em televisão LCD, no moinho do papel</t>
  </si>
  <si>
    <t>entrega e instalação de computador reparado</t>
  </si>
  <si>
    <t>entrega e instalação de computador reparado e verificação de anomalias dos quadros interativos</t>
  </si>
  <si>
    <t>entrega e instalação  de computador reparado</t>
  </si>
  <si>
    <t>reparação de computador, substituição de memórias, limpeza interna de componentes</t>
  </si>
  <si>
    <t>verificação do acesso á intermnet em todas as salas de aula, ligações a Access points e ajustes de ligações no switch bastidor 2, verificação de ligações em quadros interativsos</t>
  </si>
  <si>
    <t>substrituição de discos, do equipamento de video vigilância da Loja do cidadão</t>
  </si>
  <si>
    <t>verificação da ligação à internet, abertura de pedido de reparaçãojunto do NSO</t>
  </si>
  <si>
    <t>elaboração de manuais de procedimentos da DISIA</t>
  </si>
  <si>
    <t>verificação do acesso de fibra MEO no espaço de cidadão da JF de St. Catarina da Serra</t>
  </si>
  <si>
    <t>verificação do acesso de fibra MEO no espaço de cidadão da JF da Caranguejeira</t>
  </si>
  <si>
    <t>Configuração de impressora em dois computadores dos jornalistas do expresso, mercado santana</t>
  </si>
  <si>
    <t>Instalação da impressora Zebra nas oficinas da Guimarota</t>
  </si>
  <si>
    <t>reinstalação do serviço de vpn, preparação de posto de trabalho para inicio de sessão, bupi JF monte redondo</t>
  </si>
  <si>
    <t>verificação do acesso de fibra MEO no espaço de cidadão da JF de Monte redondo</t>
  </si>
  <si>
    <t>verificação do acesso de fibra MEO no espaço de cidadão da JF de Souto da Carpalhosa</t>
  </si>
  <si>
    <t>verificação do acesso de fibra MEO no espaço de cidadão da JF de Colmeias</t>
  </si>
  <si>
    <t>verificação do acesso de fibra MEO no espaço de cidadão da JF de Amor</t>
  </si>
  <si>
    <t>JI Riba D'aves</t>
  </si>
  <si>
    <t>substituição de rato</t>
  </si>
  <si>
    <t>receção do equipamento informático e arrumação do mesmo</t>
  </si>
  <si>
    <t>instalação e configuração de antena strarlink no centro de saúde de colmeias</t>
  </si>
  <si>
    <t>deslocação ao centro de saúde de Colmeias para confirmar serviço de intetrnet das starlinl e sua ativação</t>
  </si>
  <si>
    <t>ligação de ponto de rede na Caixa de crédito</t>
  </si>
  <si>
    <t>verificação de acesso ao SIADAP mercado santana</t>
  </si>
  <si>
    <t>instalçaão de java no mercado santana</t>
  </si>
  <si>
    <t>ligação de ponto de rede no arquivo municipal</t>
  </si>
  <si>
    <t>instalação de 3 conjuntos (computador, minitor, teclado e rato) instalação de switch, mais ligação à rede ethernet, cravagem de 3 cabos de rede, na biblioteca da EB Branca</t>
  </si>
  <si>
    <t xml:space="preserve">reparação de pc nos Bombeiros municipais, mudaaçade slot, do módulo de memória </t>
  </si>
  <si>
    <t>verificação de acesso à web na Junta de freguesia da Maceira</t>
  </si>
  <si>
    <t>ji Pocariça</t>
  </si>
  <si>
    <t>substituição de módulos de memória num pc, formatação e instalação de todo o sofware num pc</t>
  </si>
  <si>
    <t xml:space="preserve">substituição de access point </t>
  </si>
  <si>
    <t>substituição de módulos de memória num pc</t>
  </si>
  <si>
    <t>verificação do acesso de fibra MEO no espaço de cidadão da JF de Bidoeira de Cima</t>
  </si>
  <si>
    <t>Verificação do acesso á internet</t>
  </si>
  <si>
    <t>recolha de portátril do Banco de Portugal para reparação</t>
  </si>
  <si>
    <t>ajuda no inicio de sessão a duncionários dos espaçoa verdes na guimaraota</t>
  </si>
  <si>
    <t>Verificação do acesso á internet, anomalias na cablagem</t>
  </si>
  <si>
    <t>Aferição de necessidades de comunicações e internet e Instalação de equipamento informático, no posto médico da carrreira</t>
  </si>
  <si>
    <t>Formatação de instalação de todo o software em dois portateis</t>
  </si>
  <si>
    <t>Tipo de Interv, mes</t>
  </si>
  <si>
    <t>Entrega de equipamento informático Bombeiros Municipais</t>
  </si>
  <si>
    <t>Instalação de camara cd CCTV no cemitério</t>
  </si>
  <si>
    <t>Instalação de duas camaras de CCTV no canil municipal</t>
  </si>
  <si>
    <t>substituição de cabo de rede</t>
  </si>
  <si>
    <t>JI santa catarina da serra</t>
  </si>
  <si>
    <t>verificação de acesso à internet, reparação de ficha de rede</t>
  </si>
  <si>
    <t>verificação de funciobnamento de splitter, configuração de acesso à vpn e plataforma de ssiduidade</t>
  </si>
  <si>
    <t>`</t>
  </si>
  <si>
    <t>Recolha de equipamento informático da Lizbit</t>
  </si>
  <si>
    <t>substituição de rato, configuração de acesso À vpn e plataforma de assiduidade</t>
  </si>
  <si>
    <t>reconfiguração de acesso à rede fixa num pc, reconfiguração da vpn e acesso à plataforma de assiduidade</t>
  </si>
  <si>
    <t>entrega de dois computadores reparados, 1 monitor 1 telcado e 1 rato</t>
  </si>
  <si>
    <t>restabelecimento de acesso à internet no Piso 1, instalação de antena no refeitório</t>
  </si>
  <si>
    <t>Reset do switch do mercado municipal</t>
  </si>
  <si>
    <t>entrega e instalação de equipamento informático no parque de campismo do pedrogão</t>
  </si>
  <si>
    <t>Instalação e configuração de equipamento informático no parque de campismo do pedrogão</t>
  </si>
  <si>
    <t>entrega de dois computadores reparados, 1 monitor 1 telcado e 1 rato, configuração de acesso à vpn, instalação de impressora</t>
  </si>
  <si>
    <t>uadro interativo</t>
  </si>
  <si>
    <t>Instalação e conmfiguração de imporessora, restabelecimento do acesso à internet na biblioteca, e verificação de quadro interativo</t>
  </si>
  <si>
    <t>Reconfiguração da impressora e respetiva porta nos diversos pc's, devido à mudança de endereçamento nas máquinas do parque de campismo</t>
  </si>
  <si>
    <t>substituição de dois monitores no segurança do Museu de Leiria</t>
  </si>
  <si>
    <t>verificação de anomalia na plotter do arquivo de leiria</t>
  </si>
  <si>
    <t>Verificar computador, nem sempre arranca</t>
  </si>
  <si>
    <t>Correcção do acesso aos alvéolos na aplicação do parque de campismo do pedrogão</t>
  </si>
  <si>
    <t>verificação do estado de funcionamento do acesso m30 no espaço cidadão da Junta de freguesia do Coimbrão</t>
  </si>
  <si>
    <t>verificação do estado de funcionamento do acesso m30 no espaço cidadão da Junta de freguesia de Mointe Real</t>
  </si>
  <si>
    <t>verificação do estado de funcionamento do acesso m30 no espaço cidadão da Junta de freguesia do souto da carpalhosa</t>
  </si>
  <si>
    <t>verificação do estado de funcionamento do acesso m30 no espaço cidadão da Junta de freguesia da Bidoeira de Cima</t>
  </si>
  <si>
    <t>verificação do estado de funcionamento do acesso m30 no espaço cidadão da Junta de freguesia de St. Catarina da Serra</t>
  </si>
  <si>
    <t>verificação do estado de funcionamento do acesso m30 no espaço cidadão da Junta de freguesia de Bajouca</t>
  </si>
  <si>
    <t>verificação do estado de funcionamento do acesso m30 no espaço cidadão da Junta de freguesia de Amor</t>
  </si>
  <si>
    <t>passagem de cabo de rede entre salas para expansão da rede ethernet</t>
  </si>
  <si>
    <t>verificação do acesso à rede no 1º andar do centro escolar</t>
  </si>
  <si>
    <t>swiss trans</t>
  </si>
  <si>
    <t>verifica;\ao do estado do acesso àinternet</t>
  </si>
  <si>
    <t>substituição do portatil das auxiliares, configiuração de vpn</t>
  </si>
  <si>
    <t>entrega de equipamento informático, mercado municipal</t>
  </si>
  <si>
    <t>preparar conjunto(pc + monitor + teclado + rato), projetor  e internet</t>
  </si>
  <si>
    <t>instalação e configuração de impressora no CDIL (Igreja da Misericórdia)</t>
  </si>
  <si>
    <t>Aferição das necessidades para a instalação e configuração das câmaras de CCTV na Biblioteca Municipal</t>
  </si>
  <si>
    <t>vpn</t>
  </si>
  <si>
    <t>configuração de impressora/fotocopiadora em 3 computadores, resolução de problemas no acesso à rede wifi num pc</t>
  </si>
  <si>
    <t>substituição e coniguração de access point</t>
  </si>
  <si>
    <t>aferição com o Nelson eletricista, da possibilidade de passagem de cabos de rede para a instalação de câmaras de cctv na biblioteca Municipal</t>
  </si>
  <si>
    <t>EB1 Carriera</t>
  </si>
  <si>
    <t>Instalação de dois adaptadores HDMI/DVI e configurações de dois quadros interativos</t>
  </si>
  <si>
    <t>asferição das necessidades de equipamento de rede para dotar a nova sala com internet</t>
  </si>
  <si>
    <t>verificação do acesso de fibra MEO no espaço de cidadão da JF de Regueira de Pontes</t>
  </si>
  <si>
    <t>instalação e configuiração de um splitter VGS e confiuração de quadro interativo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</si>
</sst>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816]d/mmm;@"/>
    <numFmt numFmtId="165" formatCode="0000"/>
    <numFmt numFmtId="166" formatCode="[$-816]d\-mmm\-yy;@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b/>
      <i/>
      <sz val="16"/>
      <color indexed="8"/>
      <name val="Calibri"/>
      <family val="2"/>
    </font>
    <font>
      <sz val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0"/>
      <color theme="1"/>
      <name val="Aptos Black"/>
      <family val="2"/>
    </font>
  </fonts>
  <fills count="5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23" fillId="0" borderId="0"/>
  </cellStyleXfs>
  <cellXfs count="299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wrapText="1"/>
    </xf>
    <xf numFmtId="0" fontId="12" fillId="8" borderId="0" xfId="0" applyFont="1" applyFill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16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12" fillId="13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18" borderId="3" xfId="0" applyFill="1" applyBorder="1"/>
    <xf numFmtId="165" fontId="0" fillId="19" borderId="3" xfId="0" applyNumberFormat="1" applyFill="1" applyBorder="1" applyAlignment="1">
      <alignment horizontal="center"/>
    </xf>
    <xf numFmtId="0" fontId="0" fillId="19" borderId="3" xfId="0" applyFill="1" applyBorder="1"/>
    <xf numFmtId="165" fontId="0" fillId="12" borderId="3" xfId="0" applyNumberFormat="1" applyFill="1" applyBorder="1" applyAlignment="1">
      <alignment horizontal="center"/>
    </xf>
    <xf numFmtId="0" fontId="0" fillId="12" borderId="3" xfId="0" applyFill="1" applyBorder="1"/>
    <xf numFmtId="165" fontId="0" fillId="20" borderId="3" xfId="0" applyNumberFormat="1" applyFill="1" applyBorder="1" applyAlignment="1">
      <alignment horizontal="center"/>
    </xf>
    <xf numFmtId="0" fontId="0" fillId="20" borderId="3" xfId="0" applyFill="1" applyBorder="1"/>
    <xf numFmtId="165" fontId="0" fillId="21" borderId="3" xfId="0" applyNumberFormat="1" applyFill="1" applyBorder="1" applyAlignment="1">
      <alignment horizontal="center"/>
    </xf>
    <xf numFmtId="0" fontId="0" fillId="21" borderId="3" xfId="0" applyFill="1" applyBorder="1"/>
    <xf numFmtId="165" fontId="0" fillId="22" borderId="3" xfId="0" applyNumberFormat="1" applyFill="1" applyBorder="1" applyAlignment="1">
      <alignment horizontal="center"/>
    </xf>
    <xf numFmtId="0" fontId="0" fillId="22" borderId="3" xfId="0" applyFill="1" applyBorder="1"/>
    <xf numFmtId="165" fontId="0" fillId="23" borderId="3" xfId="0" applyNumberFormat="1" applyFill="1" applyBorder="1" applyAlignment="1">
      <alignment horizontal="center"/>
    </xf>
    <xf numFmtId="0" fontId="0" fillId="23" borderId="3" xfId="0" applyFill="1" applyBorder="1"/>
    <xf numFmtId="165" fontId="0" fillId="24" borderId="3" xfId="0" applyNumberFormat="1" applyFill="1" applyBorder="1" applyAlignment="1">
      <alignment horizontal="center"/>
    </xf>
    <xf numFmtId="0" fontId="0" fillId="24" borderId="3" xfId="0" applyFill="1" applyBorder="1"/>
    <xf numFmtId="165" fontId="0" fillId="25" borderId="3" xfId="0" applyNumberFormat="1" applyFill="1" applyBorder="1" applyAlignment="1">
      <alignment horizontal="center"/>
    </xf>
    <xf numFmtId="0" fontId="0" fillId="25" borderId="3" xfId="0" applyFill="1" applyBorder="1"/>
    <xf numFmtId="165" fontId="0" fillId="26" borderId="3" xfId="0" applyNumberFormat="1" applyFill="1" applyBorder="1" applyAlignment="1">
      <alignment horizontal="center"/>
    </xf>
    <xf numFmtId="0" fontId="0" fillId="26" borderId="3" xfId="0" applyFill="1" applyBorder="1"/>
    <xf numFmtId="165" fontId="0" fillId="27" borderId="3" xfId="0" applyNumberFormat="1" applyFill="1" applyBorder="1" applyAlignment="1">
      <alignment horizontal="center"/>
    </xf>
    <xf numFmtId="0" fontId="0" fillId="27" borderId="3" xfId="0" applyFill="1" applyBorder="1"/>
    <xf numFmtId="165" fontId="0" fillId="28" borderId="3" xfId="0" applyNumberFormat="1" applyFill="1" applyBorder="1" applyAlignment="1">
      <alignment horizontal="center"/>
    </xf>
    <xf numFmtId="0" fontId="0" fillId="28" borderId="3" xfId="0" applyFill="1" applyBorder="1"/>
    <xf numFmtId="165" fontId="0" fillId="30" borderId="3" xfId="0" applyNumberFormat="1" applyFill="1" applyBorder="1" applyAlignment="1">
      <alignment horizontal="center"/>
    </xf>
    <xf numFmtId="0" fontId="0" fillId="30" borderId="3" xfId="0" applyFill="1" applyBorder="1"/>
    <xf numFmtId="165" fontId="0" fillId="31" borderId="3" xfId="0" applyNumberFormat="1" applyFill="1" applyBorder="1" applyAlignment="1">
      <alignment horizontal="center"/>
    </xf>
    <xf numFmtId="0" fontId="0" fillId="31" borderId="3" xfId="0" applyFill="1" applyBorder="1"/>
    <xf numFmtId="165" fontId="0" fillId="32" borderId="3" xfId="0" applyNumberFormat="1" applyFill="1" applyBorder="1" applyAlignment="1">
      <alignment horizontal="center"/>
    </xf>
    <xf numFmtId="0" fontId="0" fillId="32" borderId="3" xfId="0" applyFill="1" applyBorder="1"/>
    <xf numFmtId="165" fontId="0" fillId="33" borderId="3" xfId="0" applyNumberFormat="1" applyFill="1" applyBorder="1" applyAlignment="1">
      <alignment horizontal="center"/>
    </xf>
    <xf numFmtId="0" fontId="0" fillId="33" borderId="3" xfId="0" applyFill="1" applyBorder="1"/>
    <xf numFmtId="165" fontId="0" fillId="34" borderId="3" xfId="0" applyNumberFormat="1" applyFill="1" applyBorder="1" applyAlignment="1">
      <alignment horizontal="center"/>
    </xf>
    <xf numFmtId="0" fontId="0" fillId="34" borderId="3" xfId="0" applyFill="1" applyBorder="1"/>
    <xf numFmtId="165" fontId="0" fillId="35" borderId="3" xfId="0" applyNumberFormat="1" applyFill="1" applyBorder="1" applyAlignment="1">
      <alignment horizontal="center"/>
    </xf>
    <xf numFmtId="0" fontId="0" fillId="35" borderId="3" xfId="0" applyFill="1" applyBorder="1"/>
    <xf numFmtId="165" fontId="0" fillId="36" borderId="3" xfId="0" applyNumberFormat="1" applyFill="1" applyBorder="1" applyAlignment="1">
      <alignment horizontal="center"/>
    </xf>
    <xf numFmtId="0" fontId="0" fillId="36" borderId="3" xfId="0" applyFill="1" applyBorder="1"/>
    <xf numFmtId="165" fontId="0" fillId="37" borderId="3" xfId="0" applyNumberFormat="1" applyFill="1" applyBorder="1" applyAlignment="1">
      <alignment horizontal="center"/>
    </xf>
    <xf numFmtId="0" fontId="0" fillId="37" borderId="3" xfId="0" applyFill="1" applyBorder="1"/>
    <xf numFmtId="165" fontId="0" fillId="9" borderId="3" xfId="0" applyNumberFormat="1" applyFill="1" applyBorder="1" applyAlignment="1">
      <alignment horizontal="center"/>
    </xf>
    <xf numFmtId="0" fontId="0" fillId="9" borderId="3" xfId="0" applyFill="1" applyBorder="1"/>
    <xf numFmtId="165" fontId="0" fillId="38" borderId="3" xfId="0" applyNumberFormat="1" applyFill="1" applyBorder="1" applyAlignment="1">
      <alignment horizontal="center"/>
    </xf>
    <xf numFmtId="0" fontId="0" fillId="38" borderId="3" xfId="0" applyFill="1" applyBorder="1"/>
    <xf numFmtId="165" fontId="0" fillId="18" borderId="3" xfId="0" applyNumberFormat="1" applyFill="1" applyBorder="1" applyAlignment="1">
      <alignment horizontal="center"/>
    </xf>
    <xf numFmtId="165" fontId="0" fillId="39" borderId="3" xfId="0" applyNumberFormat="1" applyFill="1" applyBorder="1" applyAlignment="1">
      <alignment horizontal="center"/>
    </xf>
    <xf numFmtId="0" fontId="0" fillId="39" borderId="3" xfId="0" applyFill="1" applyBorder="1"/>
    <xf numFmtId="165" fontId="0" fillId="40" borderId="3" xfId="0" applyNumberFormat="1" applyFill="1" applyBorder="1" applyAlignment="1">
      <alignment horizontal="center"/>
    </xf>
    <xf numFmtId="0" fontId="0" fillId="47" borderId="3" xfId="0" applyFill="1" applyBorder="1"/>
    <xf numFmtId="165" fontId="0" fillId="47" borderId="3" xfId="0" applyNumberFormat="1" applyFill="1" applyBorder="1" applyAlignment="1">
      <alignment horizontal="center"/>
    </xf>
    <xf numFmtId="0" fontId="0" fillId="48" borderId="3" xfId="0" applyFill="1" applyBorder="1"/>
    <xf numFmtId="165" fontId="0" fillId="48" borderId="3" xfId="0" applyNumberForma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2" fillId="16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/>
    <xf numFmtId="0" fontId="12" fillId="0" borderId="0" xfId="0" applyFont="1"/>
    <xf numFmtId="0" fontId="4" fillId="2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5" fillId="0" borderId="0" xfId="0" applyFont="1"/>
    <xf numFmtId="0" fontId="0" fillId="50" borderId="0" xfId="0" applyFill="1" applyAlignment="1">
      <alignment horizontal="center"/>
    </xf>
    <xf numFmtId="16" fontId="0" fillId="0" borderId="0" xfId="0" applyNumberFormat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0" borderId="0" xfId="0" applyFill="1"/>
    <xf numFmtId="0" fontId="0" fillId="21" borderId="0" xfId="0" applyFill="1"/>
    <xf numFmtId="0" fontId="0" fillId="47" borderId="0" xfId="0" applyFill="1"/>
    <xf numFmtId="49" fontId="0" fillId="33" borderId="0" xfId="0" applyNumberFormat="1" applyFill="1" applyAlignment="1">
      <alignment vertical="top"/>
    </xf>
    <xf numFmtId="49" fontId="0" fillId="36" borderId="0" xfId="0" applyNumberFormat="1" applyFill="1" applyAlignment="1">
      <alignment vertical="top"/>
    </xf>
    <xf numFmtId="49" fontId="0" fillId="47" borderId="0" xfId="0" applyNumberFormat="1" applyFill="1" applyAlignment="1">
      <alignment vertical="top"/>
    </xf>
    <xf numFmtId="0" fontId="0" fillId="36" borderId="0" xfId="0" applyFill="1"/>
    <xf numFmtId="165" fontId="0" fillId="29" borderId="0" xfId="0" applyNumberFormat="1" applyFill="1" applyAlignment="1">
      <alignment horizontal="center"/>
    </xf>
    <xf numFmtId="0" fontId="0" fillId="29" borderId="0" xfId="0" applyFill="1"/>
    <xf numFmtId="49" fontId="0" fillId="40" borderId="0" xfId="0" applyNumberFormat="1" applyFill="1" applyAlignment="1">
      <alignment vertical="top"/>
    </xf>
    <xf numFmtId="49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/>
    <xf numFmtId="0" fontId="0" fillId="19" borderId="0" xfId="0" applyFill="1" applyAlignment="1">
      <alignment horizontal="center"/>
    </xf>
    <xf numFmtId="0" fontId="11" fillId="7" borderId="0" xfId="4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2" fillId="4" borderId="0" xfId="1" applyFont="1" applyAlignment="1">
      <alignment horizontal="center" vertical="center"/>
    </xf>
    <xf numFmtId="0" fontId="20" fillId="6" borderId="0" xfId="3" applyFont="1" applyAlignment="1">
      <alignment horizontal="center" vertical="center"/>
    </xf>
    <xf numFmtId="0" fontId="21" fillId="7" borderId="0" xfId="4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0" fillId="44" borderId="0" xfId="0" applyNumberFormat="1" applyFill="1" applyAlignment="1">
      <alignment horizontal="center"/>
    </xf>
    <xf numFmtId="165" fontId="0" fillId="46" borderId="0" xfId="0" applyNumberForma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0" fillId="36" borderId="0" xfId="0" applyNumberFormat="1" applyFill="1" applyAlignment="1">
      <alignment horizontal="center"/>
    </xf>
    <xf numFmtId="165" fontId="0" fillId="45" borderId="0" xfId="0" applyNumberFormat="1" applyFill="1" applyAlignment="1">
      <alignment horizontal="center"/>
    </xf>
    <xf numFmtId="0" fontId="0" fillId="44" borderId="0" xfId="0" applyFill="1"/>
    <xf numFmtId="0" fontId="0" fillId="46" borderId="0" xfId="0" applyFill="1"/>
    <xf numFmtId="0" fontId="0" fillId="10" borderId="0" xfId="0" applyFill="1"/>
    <xf numFmtId="0" fontId="0" fillId="45" borderId="0" xfId="0" applyFill="1"/>
    <xf numFmtId="165" fontId="0" fillId="27" borderId="0" xfId="0" applyNumberFormat="1" applyFill="1" applyAlignment="1">
      <alignment horizontal="center"/>
    </xf>
    <xf numFmtId="165" fontId="0" fillId="43" borderId="0" xfId="0" applyNumberFormat="1" applyFill="1" applyAlignment="1">
      <alignment horizontal="center"/>
    </xf>
    <xf numFmtId="165" fontId="0" fillId="42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165" fontId="0" fillId="21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41" borderId="0" xfId="0" applyNumberFormat="1" applyFill="1" applyAlignment="1">
      <alignment horizontal="center"/>
    </xf>
    <xf numFmtId="0" fontId="0" fillId="27" borderId="0" xfId="0" applyFill="1"/>
    <xf numFmtId="0" fontId="0" fillId="43" borderId="0" xfId="0" applyFill="1"/>
    <xf numFmtId="0" fontId="0" fillId="42" borderId="0" xfId="0" applyFill="1"/>
    <xf numFmtId="0" fontId="0" fillId="37" borderId="0" xfId="0" applyFill="1"/>
    <xf numFmtId="0" fontId="0" fillId="8" borderId="0" xfId="0" applyFill="1"/>
    <xf numFmtId="0" fontId="0" fillId="41" borderId="0" xfId="0" applyFill="1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9" fillId="5" borderId="0" xfId="2" applyAlignment="1">
      <alignment horizontal="center" vertical="center"/>
    </xf>
    <xf numFmtId="1" fontId="9" fillId="5" borderId="0" xfId="2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49" fontId="0" fillId="21" borderId="3" xfId="0" applyNumberFormat="1" applyFill="1" applyBorder="1" applyAlignment="1">
      <alignment vertical="top"/>
    </xf>
    <xf numFmtId="16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0" borderId="11" xfId="5" applyBorder="1"/>
    <xf numFmtId="0" fontId="25" fillId="11" borderId="0" xfId="0" applyFont="1" applyFill="1" applyAlignment="1">
      <alignment horizontal="center" vertical="center"/>
    </xf>
    <xf numFmtId="0" fontId="23" fillId="0" borderId="11" xfId="5" applyBorder="1" applyAlignment="1">
      <alignment wrapText="1"/>
    </xf>
    <xf numFmtId="16" fontId="1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12" borderId="0" xfId="0" applyFill="1" applyAlignment="1">
      <alignment horizontal="left"/>
    </xf>
    <xf numFmtId="0" fontId="12" fillId="8" borderId="0" xfId="0" applyFont="1" applyFill="1" applyAlignment="1">
      <alignment horizontal="left"/>
    </xf>
    <xf numFmtId="0" fontId="1" fillId="53" borderId="0" xfId="0" applyFont="1" applyFill="1" applyAlignment="1">
      <alignment horizontal="center"/>
    </xf>
    <xf numFmtId="0" fontId="0" fillId="0" borderId="3" xfId="0" applyBorder="1"/>
    <xf numFmtId="165" fontId="0" fillId="0" borderId="3" xfId="0" applyNumberFormat="1" applyBorder="1" applyAlignment="1">
      <alignment horizontal="center"/>
    </xf>
    <xf numFmtId="165" fontId="0" fillId="48" borderId="4" xfId="0" applyNumberFormat="1" applyFill="1" applyBorder="1" applyAlignment="1">
      <alignment vertical="center"/>
    </xf>
    <xf numFmtId="0" fontId="0" fillId="48" borderId="4" xfId="0" applyFill="1" applyBorder="1" applyAlignment="1">
      <alignment vertical="center"/>
    </xf>
    <xf numFmtId="165" fontId="0" fillId="19" borderId="4" xfId="0" applyNumberFormat="1" applyFill="1" applyBorder="1" applyAlignment="1">
      <alignment vertical="center"/>
    </xf>
    <xf numFmtId="165" fontId="0" fillId="30" borderId="4" xfId="0" applyNumberFormat="1" applyFill="1" applyBorder="1" applyAlignment="1">
      <alignment vertical="center"/>
    </xf>
    <xf numFmtId="165" fontId="0" fillId="21" borderId="4" xfId="0" applyNumberFormat="1" applyFill="1" applyBorder="1" applyAlignment="1">
      <alignment vertical="center"/>
    </xf>
    <xf numFmtId="165" fontId="0" fillId="9" borderId="4" xfId="0" applyNumberFormat="1" applyFill="1" applyBorder="1" applyAlignment="1">
      <alignment vertical="center"/>
    </xf>
    <xf numFmtId="165" fontId="0" fillId="33" borderId="4" xfId="0" applyNumberFormat="1" applyFill="1" applyBorder="1" applyAlignment="1">
      <alignment vertical="center"/>
    </xf>
    <xf numFmtId="165" fontId="0" fillId="47" borderId="4" xfId="0" applyNumberFormat="1" applyFill="1" applyBorder="1" applyAlignment="1">
      <alignment vertical="center"/>
    </xf>
    <xf numFmtId="165" fontId="0" fillId="40" borderId="4" xfId="0" applyNumberFormat="1" applyFill="1" applyBorder="1" applyAlignment="1">
      <alignment vertical="center"/>
    </xf>
    <xf numFmtId="165" fontId="0" fillId="36" borderId="4" xfId="0" applyNumberFormat="1" applyFill="1" applyBorder="1" applyAlignment="1">
      <alignment vertical="center"/>
    </xf>
    <xf numFmtId="0" fontId="16" fillId="8" borderId="0" xfId="0" applyFont="1" applyFill="1" applyAlignment="1">
      <alignment horizontal="center" vertical="center"/>
    </xf>
    <xf numFmtId="0" fontId="21" fillId="39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17" borderId="4" xfId="0" applyFont="1" applyFill="1" applyBorder="1" applyAlignment="1">
      <alignment vertical="center"/>
    </xf>
    <xf numFmtId="165" fontId="11" fillId="17" borderId="3" xfId="0" applyNumberFormat="1" applyFont="1" applyFill="1" applyBorder="1" applyAlignment="1">
      <alignment horizontal="center"/>
    </xf>
    <xf numFmtId="0" fontId="11" fillId="17" borderId="3" xfId="0" applyFont="1" applyFill="1" applyBorder="1" applyAlignment="1">
      <alignment horizontal="center"/>
    </xf>
    <xf numFmtId="0" fontId="14" fillId="12" borderId="0" xfId="0" applyFont="1" applyFill="1" applyAlignment="1">
      <alignment horizontal="center"/>
    </xf>
    <xf numFmtId="0" fontId="23" fillId="52" borderId="12" xfId="5" applyFill="1" applyBorder="1" applyAlignment="1">
      <alignment horizontal="center" vertical="center"/>
    </xf>
    <xf numFmtId="0" fontId="23" fillId="52" borderId="12" xfId="5" applyFill="1" applyBorder="1" applyAlignment="1">
      <alignment horizontal="center"/>
    </xf>
    <xf numFmtId="0" fontId="24" fillId="11" borderId="12" xfId="5" applyFont="1" applyFill="1" applyBorder="1" applyAlignment="1">
      <alignment vertical="center"/>
    </xf>
    <xf numFmtId="165" fontId="0" fillId="0" borderId="12" xfId="0" applyNumberFormat="1" applyBorder="1" applyAlignment="1">
      <alignment horizontal="center" vertical="center"/>
    </xf>
    <xf numFmtId="0" fontId="23" fillId="0" borderId="12" xfId="5" applyBorder="1" applyAlignment="1">
      <alignment horizontal="right" wrapText="1"/>
    </xf>
    <xf numFmtId="0" fontId="24" fillId="11" borderId="12" xfId="5" applyFont="1" applyFill="1" applyBorder="1" applyAlignment="1">
      <alignment horizontal="center" vertical="center" wrapText="1"/>
    </xf>
    <xf numFmtId="0" fontId="23" fillId="0" borderId="12" xfId="5" applyBorder="1"/>
    <xf numFmtId="0" fontId="23" fillId="0" borderId="12" xfId="5" applyBorder="1" applyAlignment="1">
      <alignment wrapText="1"/>
    </xf>
    <xf numFmtId="0" fontId="27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165" fontId="11" fillId="17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" fontId="15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" fontId="3" fillId="0" borderId="0" xfId="0" applyNumberFormat="1" applyFont="1" applyAlignment="1" applyProtection="1">
      <alignment horizontal="center" vertical="center"/>
      <protection locked="0"/>
    </xf>
    <xf numFmtId="16" fontId="0" fillId="0" borderId="0" xfId="0" applyNumberForma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1" fontId="0" fillId="0" borderId="0" xfId="0" applyNumberFormat="1" applyAlignment="1">
      <alignment horizontal="center"/>
    </xf>
    <xf numFmtId="0" fontId="12" fillId="18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right"/>
    </xf>
    <xf numFmtId="0" fontId="12" fillId="18" borderId="0" xfId="0" applyFont="1" applyFill="1" applyAlignment="1">
      <alignment horizontal="center"/>
    </xf>
    <xf numFmtId="0" fontId="12" fillId="33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center" vertical="center"/>
    </xf>
    <xf numFmtId="0" fontId="0" fillId="24" borderId="0" xfId="0" applyFill="1" applyAlignment="1">
      <alignment horizontal="center"/>
    </xf>
    <xf numFmtId="0" fontId="16" fillId="18" borderId="0" xfId="0" applyFont="1" applyFill="1" applyAlignment="1">
      <alignment horizontal="right"/>
    </xf>
    <xf numFmtId="0" fontId="16" fillId="18" borderId="0" xfId="0" applyFont="1" applyFill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right"/>
    </xf>
    <xf numFmtId="16" fontId="0" fillId="0" borderId="0" xfId="0" applyNumberFormat="1" applyAlignment="1">
      <alignment horizontal="center"/>
    </xf>
    <xf numFmtId="0" fontId="12" fillId="54" borderId="0" xfId="0" applyFont="1" applyFill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0" fillId="0" borderId="1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50" borderId="0" xfId="0" applyFont="1" applyFill="1" applyAlignment="1">
      <alignment horizontal="center"/>
    </xf>
    <xf numFmtId="0" fontId="17" fillId="46" borderId="0" xfId="0" applyFont="1" applyFill="1" applyAlignment="1">
      <alignment horizontal="center"/>
    </xf>
    <xf numFmtId="0" fontId="26" fillId="51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6" fillId="45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2" fillId="25" borderId="5" xfId="0" applyFont="1" applyFill="1" applyBorder="1" applyAlignment="1">
      <alignment horizontal="center"/>
    </xf>
    <xf numFmtId="0" fontId="12" fillId="25" borderId="6" xfId="0" applyFont="1" applyFill="1" applyBorder="1" applyAlignment="1">
      <alignment horizontal="center"/>
    </xf>
    <xf numFmtId="0" fontId="12" fillId="25" borderId="7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165" fontId="0" fillId="48" borderId="0" xfId="0" applyNumberFormat="1" applyFill="1" applyBorder="1" applyAlignment="1">
      <alignment vertical="center"/>
    </xf>
    <xf numFmtId="165" fontId="0" fillId="33" borderId="3" xfId="0" applyNumberFormat="1" applyFill="1" applyBorder="1" applyAlignment="1">
      <alignment vertical="center"/>
    </xf>
    <xf numFmtId="165" fontId="0" fillId="36" borderId="0" xfId="0" applyNumberFormat="1" applyFill="1" applyBorder="1"/>
    <xf numFmtId="165" fontId="0" fillId="36" borderId="0" xfId="0" applyNumberFormat="1" applyFill="1" applyBorder="1" applyAlignment="1">
      <alignment vertical="center"/>
    </xf>
    <xf numFmtId="165" fontId="0" fillId="47" borderId="0" xfId="0" applyNumberFormat="1" applyFill="1" applyBorder="1" applyAlignment="1">
      <alignment vertical="center"/>
    </xf>
    <xf numFmtId="0" fontId="0" fillId="48" borderId="0" xfId="0" applyFill="1" applyBorder="1"/>
    <xf numFmtId="49" fontId="0" fillId="19" borderId="3" xfId="0" applyNumberFormat="1" applyFill="1" applyBorder="1" applyAlignment="1">
      <alignment vertical="top"/>
    </xf>
    <xf numFmtId="0" fontId="0" fillId="47" borderId="0" xfId="0" applyFill="1" applyBorder="1"/>
    <xf numFmtId="49" fontId="0" fillId="48" borderId="3" xfId="0" applyNumberFormat="1" applyFill="1" applyBorder="1" applyAlignment="1">
      <alignment vertical="top"/>
    </xf>
    <xf numFmtId="0" fontId="0" fillId="40" borderId="0" xfId="0" applyFill="1" applyBorder="1"/>
    <xf numFmtId="49" fontId="0" fillId="9" borderId="3" xfId="0" applyNumberFormat="1" applyFill="1" applyBorder="1" applyAlignment="1">
      <alignment vertical="top"/>
    </xf>
    <xf numFmtId="0" fontId="0" fillId="36" borderId="0" xfId="0" applyFill="1" applyBorder="1"/>
    <xf numFmtId="49" fontId="0" fillId="33" borderId="3" xfId="0" applyNumberFormat="1" applyFill="1" applyBorder="1" applyAlignment="1">
      <alignment vertical="top"/>
    </xf>
    <xf numFmtId="49" fontId="0" fillId="30" borderId="3" xfId="0" applyNumberFormat="1" applyFill="1" applyBorder="1" applyAlignment="1">
      <alignment vertical="top"/>
    </xf>
    <xf numFmtId="165" fontId="0" fillId="48" borderId="0" xfId="0" applyNumberFormat="1" applyFill="1" applyBorder="1" applyAlignment="1">
      <alignment horizontal="center"/>
    </xf>
    <xf numFmtId="165" fontId="0" fillId="36" borderId="0" xfId="0" applyNumberFormat="1" applyFill="1" applyBorder="1" applyAlignment="1">
      <alignment horizontal="center"/>
    </xf>
    <xf numFmtId="165" fontId="0" fillId="47" borderId="0" xfId="0" applyNumberFormat="1" applyFill="1" applyBorder="1" applyAlignment="1">
      <alignment horizontal="center"/>
    </xf>
    <xf numFmtId="165" fontId="0" fillId="28" borderId="0" xfId="0" applyNumberFormat="1" applyFill="1" applyBorder="1" applyAlignment="1">
      <alignment horizontal="center"/>
    </xf>
    <xf numFmtId="165" fontId="0" fillId="8" borderId="0" xfId="0" applyNumberFormat="1" applyFill="1" applyBorder="1" applyAlignment="1">
      <alignment horizontal="center"/>
    </xf>
    <xf numFmtId="165" fontId="0" fillId="29" borderId="0" xfId="0" applyNumberFormat="1" applyFill="1" applyBorder="1" applyAlignment="1">
      <alignment horizontal="center"/>
    </xf>
    <xf numFmtId="165" fontId="0" fillId="10" borderId="0" xfId="0" applyNumberFormat="1" applyFill="1" applyBorder="1" applyAlignment="1">
      <alignment horizontal="center"/>
    </xf>
    <xf numFmtId="165" fontId="0" fillId="46" borderId="0" xfId="0" applyNumberFormat="1" applyFill="1" applyBorder="1" applyAlignment="1">
      <alignment horizontal="center"/>
    </xf>
    <xf numFmtId="165" fontId="0" fillId="37" borderId="0" xfId="0" applyNumberFormat="1" applyFill="1" applyBorder="1" applyAlignment="1">
      <alignment horizontal="center"/>
    </xf>
    <xf numFmtId="165" fontId="0" fillId="45" borderId="0" xfId="0" applyNumberFormat="1" applyFill="1" applyBorder="1" applyAlignment="1">
      <alignment horizontal="center"/>
    </xf>
    <xf numFmtId="165" fontId="0" fillId="44" borderId="0" xfId="0" applyNumberFormat="1" applyFill="1" applyBorder="1" applyAlignment="1">
      <alignment horizontal="center"/>
    </xf>
    <xf numFmtId="165" fontId="0" fillId="21" borderId="0" xfId="0" applyNumberFormat="1" applyFill="1" applyBorder="1" applyAlignment="1">
      <alignment horizontal="center"/>
    </xf>
    <xf numFmtId="165" fontId="0" fillId="41" borderId="0" xfId="0" applyNumberFormat="1" applyFill="1" applyBorder="1" applyAlignment="1">
      <alignment horizontal="center"/>
    </xf>
    <xf numFmtId="165" fontId="0" fillId="42" borderId="0" xfId="0" applyNumberFormat="1" applyFill="1" applyBorder="1" applyAlignment="1">
      <alignment horizontal="center"/>
    </xf>
    <xf numFmtId="165" fontId="0" fillId="24" borderId="0" xfId="0" applyNumberFormat="1" applyFill="1" applyBorder="1" applyAlignment="1">
      <alignment horizontal="center"/>
    </xf>
    <xf numFmtId="165" fontId="0" fillId="43" borderId="0" xfId="0" applyNumberFormat="1" applyFill="1" applyBorder="1" applyAlignment="1">
      <alignment horizontal="center"/>
    </xf>
    <xf numFmtId="165" fontId="0" fillId="35" borderId="0" xfId="0" applyNumberFormat="1" applyFill="1" applyBorder="1" applyAlignment="1">
      <alignment horizontal="center"/>
    </xf>
    <xf numFmtId="0" fontId="0" fillId="28" borderId="0" xfId="0" applyFill="1" applyBorder="1"/>
    <xf numFmtId="0" fontId="0" fillId="8" borderId="0" xfId="0" applyFill="1" applyBorder="1"/>
    <xf numFmtId="0" fontId="0" fillId="29" borderId="0" xfId="0" applyFill="1" applyBorder="1"/>
    <xf numFmtId="0" fontId="0" fillId="10" borderId="0" xfId="0" applyFill="1" applyBorder="1"/>
    <xf numFmtId="0" fontId="0" fillId="46" borderId="0" xfId="0" applyFill="1" applyBorder="1"/>
    <xf numFmtId="0" fontId="0" fillId="37" borderId="0" xfId="0" applyFill="1" applyBorder="1"/>
    <xf numFmtId="0" fontId="0" fillId="45" borderId="0" xfId="0" applyFill="1" applyBorder="1"/>
    <xf numFmtId="0" fontId="0" fillId="44" borderId="0" xfId="0" applyFill="1" applyBorder="1"/>
    <xf numFmtId="0" fontId="0" fillId="21" borderId="0" xfId="0" applyFill="1" applyBorder="1"/>
    <xf numFmtId="0" fontId="0" fillId="41" borderId="0" xfId="0" applyFill="1" applyBorder="1"/>
    <xf numFmtId="0" fontId="0" fillId="42" borderId="0" xfId="0" applyFill="1" applyBorder="1"/>
    <xf numFmtId="0" fontId="0" fillId="24" borderId="0" xfId="0" applyFill="1" applyBorder="1"/>
    <xf numFmtId="0" fontId="0" fillId="43" borderId="0" xfId="0" applyFill="1" applyBorder="1"/>
    <xf numFmtId="0" fontId="0" fillId="35" borderId="0" xfId="0" applyFill="1" applyBorder="1"/>
  </cellXfs>
  <cellStyles count="6">
    <cellStyle name="20% - Accent4" xfId="1" builtinId="42"/>
    <cellStyle name="20% - Accent5" xfId="2" builtinId="46"/>
    <cellStyle name="60% - Accent1" xfId="3" builtinId="32"/>
    <cellStyle name="Accent4" xfId="4" builtinId="41"/>
    <cellStyle name="Normal" xfId="0" builtinId="0"/>
    <cellStyle name="Normal_Sheet1" xfId="5" xr:uid="{00000000-0005-0000-0000-000005000000}"/>
  </cellStyles>
  <dxfs count="4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Intervenções nas Escolas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Meses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Totais!$A$21:$L$21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Totais!$A$22:$L$22</c:f>
              <c:numCache>
                <c:formatCode>General</c:formatCode>
                <c:ptCount val="12"/>
                <c:pt idx="0">
                  <c:v>35</c:v>
                </c:pt>
                <c:pt idx="1">
                  <c:v>11</c:v>
                </c:pt>
                <c:pt idx="2">
                  <c:v>37</c:v>
                </c:pt>
                <c:pt idx="3">
                  <c:v>21</c:v>
                </c:pt>
                <c:pt idx="4">
                  <c:v>24</c:v>
                </c:pt>
                <c:pt idx="5" formatCode="0">
                  <c:v>15</c:v>
                </c:pt>
                <c:pt idx="6" formatCode="0">
                  <c:v>7</c:v>
                </c:pt>
                <c:pt idx="7" formatCode="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6-4AE2-A58E-53CCA964B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2054112"/>
        <c:axId val="452054592"/>
      </c:barChart>
      <c:lineChart>
        <c:grouping val="standard"/>
        <c:varyColors val="0"/>
        <c:ser>
          <c:idx val="1"/>
          <c:order val="1"/>
          <c:tx>
            <c:strRef>
              <c:f>Totais!$M$21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Totais!$M$22</c:f>
              <c:numCache>
                <c:formatCode>General</c:formatCode>
                <c:ptCount val="1"/>
                <c:pt idx="0">
                  <c:v>150</c:v>
                </c:pt>
              </c:numCache>
            </c:numRef>
          </c:cat>
          <c:val>
            <c:numRef>
              <c:f>Totais!$M$22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6-434E-BEF2-65C053515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5151"/>
        <c:axId val="20619471"/>
      </c:lineChart>
      <c:catAx>
        <c:axId val="45205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2054592"/>
        <c:crosses val="autoZero"/>
        <c:auto val="1"/>
        <c:lblAlgn val="ctr"/>
        <c:lblOffset val="100"/>
        <c:noMultiLvlLbl val="0"/>
      </c:catAx>
      <c:valAx>
        <c:axId val="4520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2054112"/>
        <c:crosses val="autoZero"/>
        <c:crossBetween val="between"/>
      </c:valAx>
      <c:valAx>
        <c:axId val="206194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615151"/>
        <c:crosses val="max"/>
        <c:crossBetween val="between"/>
      </c:valAx>
      <c:catAx>
        <c:axId val="206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Pedidos de Intervenção</a:t>
            </a:r>
            <a:r>
              <a:rPr lang="en-US" baseline="0"/>
              <a:t> Pendentes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4438271358212"/>
          <c:y val="0.19990740740740739"/>
          <c:w val="0.72162933947977315"/>
          <c:h val="0.59233741615631375"/>
        </c:manualLayout>
      </c:layout>
      <c:doughnutChart>
        <c:varyColors val="1"/>
        <c:ser>
          <c:idx val="0"/>
          <c:order val="0"/>
          <c:tx>
            <c:strRef>
              <c:f>'Pedidos de Intervenção'!$A$5:$A$7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2-4E3F-A646-BA3CBE0B0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2-4E3F-A646-BA3CBE0B0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2-4E3F-A646-BA3CBE0B02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'Pedidos de Intervenção'!$A$5:$A$7</c:f>
              <c:numCache>
                <c:formatCode>0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'Pedidos de Intervenção'!$B$5:$B$7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1-468D-A821-C4DCEE292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Intervenções Por Agrupamento</a:t>
            </a:r>
          </a:p>
          <a:p>
            <a:pPr>
              <a:defRPr/>
            </a:pPr>
            <a:r>
              <a:rPr lang="en-US"/>
              <a:t>(Mês Corrtente)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'Pedidos de Intervenção'!$E$5:$E$12</c:f>
              <c:strCache>
                <c:ptCount val="8"/>
                <c:pt idx="0">
                  <c:v>Escolas Rainha Santa Isabel</c:v>
                </c:pt>
                <c:pt idx="1">
                  <c:v>Escolas Dr. Correia Mateus</c:v>
                </c:pt>
                <c:pt idx="2">
                  <c:v>Escolas da Caranguejeira</c:v>
                </c:pt>
                <c:pt idx="3">
                  <c:v>Escolas de Colmeias</c:v>
                </c:pt>
                <c:pt idx="4">
                  <c:v>Escolas de Marrazes</c:v>
                </c:pt>
                <c:pt idx="5">
                  <c:v>Escolas Domingos Sequeira</c:v>
                </c:pt>
                <c:pt idx="6">
                  <c:v>Escolas D. Dinis</c:v>
                </c:pt>
                <c:pt idx="7">
                  <c:v>Escolas Henrique Sommer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30E1-4F48-80D8-8700CCAD95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0E1-4F48-80D8-8700CCAD9547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30E1-4F48-80D8-8700CCAD954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0E1-4F48-80D8-8700CCAD9547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30E1-4F48-80D8-8700CCAD954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  <a:effectLst/>
              <a:sp3d>
                <a:contourClr>
                  <a:srgbClr val="C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E1-4F48-80D8-8700CCAD954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0E1-4F48-80D8-8700CCAD9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RSI</c:v>
              </c:pt>
              <c:pt idx="1">
                <c:v>DR CM</c:v>
              </c:pt>
              <c:pt idx="2">
                <c:v>CAR-SCS</c:v>
              </c:pt>
              <c:pt idx="3">
                <c:v>COLMEIAS</c:v>
              </c:pt>
              <c:pt idx="4">
                <c:v>MARRAZES</c:v>
              </c:pt>
              <c:pt idx="5">
                <c:v>DS</c:v>
              </c:pt>
              <c:pt idx="6">
                <c:v>D DINIS</c:v>
              </c:pt>
              <c:pt idx="7">
                <c:v>HS</c:v>
              </c:pt>
            </c:strLit>
          </c:cat>
          <c:val>
            <c:numRef>
              <c:f>'Pedidos de Intervenção'!$F$5:$F$12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E1-4F48-80D8-8700CCAD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1215552"/>
        <c:axId val="1391216512"/>
        <c:axId val="0"/>
      </c:bar3DChart>
      <c:catAx>
        <c:axId val="13912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1216512"/>
        <c:crosses val="autoZero"/>
        <c:auto val="1"/>
        <c:lblAlgn val="ctr"/>
        <c:lblOffset val="100"/>
        <c:noMultiLvlLbl val="0"/>
      </c:catAx>
      <c:valAx>
        <c:axId val="13912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12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Intervenções Por Agrupamento (Ano 2026)</a:t>
            </a:r>
          </a:p>
        </c:rich>
      </c:tx>
      <c:layout>
        <c:manualLayout>
          <c:xMode val="edge"/>
          <c:yMode val="edge"/>
          <c:x val="0.31843667206434362"/>
          <c:y val="4.566210045662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'Pedidos de Intervenção'!$E$17:$E$24</c:f>
              <c:strCache>
                <c:ptCount val="8"/>
                <c:pt idx="0">
                  <c:v>Escolas Rainha Santa Isabel</c:v>
                </c:pt>
                <c:pt idx="1">
                  <c:v>Escolas Dr. Correia Mateus</c:v>
                </c:pt>
                <c:pt idx="2">
                  <c:v>Escolas da Caranguejeira</c:v>
                </c:pt>
                <c:pt idx="3">
                  <c:v>Escolas de Colmeias</c:v>
                </c:pt>
                <c:pt idx="4">
                  <c:v>Escolas de Marrazes</c:v>
                </c:pt>
                <c:pt idx="5">
                  <c:v>Escolas Domingos Sequeira</c:v>
                </c:pt>
                <c:pt idx="6">
                  <c:v>Escolas D. Dinis</c:v>
                </c:pt>
                <c:pt idx="7">
                  <c:v>Escolas Henrique Sommer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42E-4B0C-BE16-3674FEAC4B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42E-4B0C-BE16-3674FEAC4B39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42E-4B0C-BE16-3674FEAC4B3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42E-4B0C-BE16-3674FEAC4B39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42E-4B0C-BE16-3674FEAC4B3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  <a:effectLst/>
              <a:sp3d>
                <a:contourClr>
                  <a:srgbClr val="C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2E-4B0C-BE16-3674FEAC4B3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42E-4B0C-BE16-3674FEAC4B39}"/>
              </c:ext>
            </c:extLst>
          </c:dPt>
          <c:dLbls>
            <c:dLbl>
              <c:idx val="0"/>
              <c:layout>
                <c:manualLayout>
                  <c:x val="1.0384215991692628E-2"/>
                  <c:y val="-3.1963470319634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850-4DB1-8EB3-FA4614703022}"/>
                </c:ext>
              </c:extLst>
            </c:dLbl>
            <c:dLbl>
              <c:idx val="1"/>
              <c:layout>
                <c:manualLayout>
                  <c:x val="7.7881619937694227E-3"/>
                  <c:y val="-3.1963470319634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2E-4B0C-BE16-3674FEAC4B39}"/>
                </c:ext>
              </c:extLst>
            </c:dLbl>
            <c:dLbl>
              <c:idx val="2"/>
              <c:layout>
                <c:manualLayout>
                  <c:x val="1.1682242990654254E-2"/>
                  <c:y val="-3.1963470319634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2E-4B0C-BE16-3674FEAC4B39}"/>
                </c:ext>
              </c:extLst>
            </c:dLbl>
            <c:dLbl>
              <c:idx val="3"/>
              <c:layout>
                <c:manualLayout>
                  <c:x val="5.1921079958463139E-3"/>
                  <c:y val="-1.8264840182648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2E-4B0C-BE16-3674FEAC4B39}"/>
                </c:ext>
              </c:extLst>
            </c:dLbl>
            <c:dLbl>
              <c:idx val="4"/>
              <c:layout>
                <c:manualLayout>
                  <c:x val="9.0861889927310487E-3"/>
                  <c:y val="-1.8264840182648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2E-4B0C-BE16-3674FEAC4B39}"/>
                </c:ext>
              </c:extLst>
            </c:dLbl>
            <c:dLbl>
              <c:idx val="5"/>
              <c:layout>
                <c:manualLayout>
                  <c:x val="1.1682242990654205E-2"/>
                  <c:y val="-3.1963470319634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2E-4B0C-BE16-3674FEAC4B39}"/>
                </c:ext>
              </c:extLst>
            </c:dLbl>
            <c:dLbl>
              <c:idx val="6"/>
              <c:layout>
                <c:manualLayout>
                  <c:x val="9.0861889927311441E-3"/>
                  <c:y val="-2.7397260273972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2E-4B0C-BE16-3674FEAC4B39}"/>
                </c:ext>
              </c:extLst>
            </c:dLbl>
            <c:dLbl>
              <c:idx val="7"/>
              <c:layout>
                <c:manualLayout>
                  <c:x val="9.0861889927310487E-3"/>
                  <c:y val="-3.6529680365296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42E-4B0C-BE16-3674FEAC4B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RSI</c:v>
              </c:pt>
              <c:pt idx="1">
                <c:v>DR CM</c:v>
              </c:pt>
              <c:pt idx="2">
                <c:v>CAR-SCS</c:v>
              </c:pt>
              <c:pt idx="3">
                <c:v>COLMEIAS</c:v>
              </c:pt>
              <c:pt idx="4">
                <c:v>MARRAZES</c:v>
              </c:pt>
              <c:pt idx="5">
                <c:v>DS</c:v>
              </c:pt>
              <c:pt idx="6">
                <c:v>D DINIS</c:v>
              </c:pt>
              <c:pt idx="7">
                <c:v>HS</c:v>
              </c:pt>
            </c:strLit>
          </c:cat>
          <c:val>
            <c:numRef>
              <c:f>'Pedidos de Intervenção'!$F$17:$F$24</c:f>
              <c:numCache>
                <c:formatCode>General</c:formatCode>
                <c:ptCount val="8"/>
                <c:pt idx="0">
                  <c:v>69</c:v>
                </c:pt>
                <c:pt idx="1">
                  <c:v>11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28</c:v>
                </c:pt>
                <c:pt idx="6">
                  <c:v>13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2E-4B0C-BE16-3674FEAC4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1215552"/>
        <c:axId val="1391216512"/>
        <c:axId val="0"/>
      </c:bar3DChart>
      <c:catAx>
        <c:axId val="13912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1216512"/>
        <c:crosses val="autoZero"/>
        <c:auto val="1"/>
        <c:lblAlgn val="ctr"/>
        <c:lblOffset val="100"/>
        <c:noMultiLvlLbl val="0"/>
      </c:catAx>
      <c:valAx>
        <c:axId val="13912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912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Tipos de Intervenção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05F0-45E8-ADD0-ACA0972D5204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5F0-45E8-ADD0-ACA0972D520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05F0-45E8-ADD0-ACA0972D5204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5F0-45E8-ADD0-ACA0972D520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5F0-45E8-ADD0-ACA0972D5204}"/>
              </c:ext>
            </c:extLst>
          </c:dPt>
          <c:dLbls>
            <c:dLbl>
              <c:idx val="0"/>
              <c:layout>
                <c:manualLayout>
                  <c:x val="1.416029453412631E-2"/>
                  <c:y val="-1.004279460287526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F0-45E8-ADD0-ACA0972D5204}"/>
                </c:ext>
              </c:extLst>
            </c:dLbl>
            <c:dLbl>
              <c:idx val="1"/>
              <c:layout>
                <c:manualLayout>
                  <c:x val="1.8408382894364098E-2"/>
                  <c:y val="-2.73897562311695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F0-45E8-ADD0-ACA0972D5204}"/>
                </c:ext>
              </c:extLst>
            </c:dLbl>
            <c:dLbl>
              <c:idx val="2"/>
              <c:layout>
                <c:manualLayout>
                  <c:x val="1.5576323987538837E-2"/>
                  <c:y val="-2.73897562311695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F0-45E8-ADD0-ACA0972D5204}"/>
                </c:ext>
              </c:extLst>
            </c:dLbl>
            <c:dLbl>
              <c:idx val="3"/>
              <c:layout>
                <c:manualLayout>
                  <c:x val="9.9122061738883653E-3"/>
                  <c:y val="-2.73897562311700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F0-45E8-ADD0-ACA0972D5204}"/>
                </c:ext>
              </c:extLst>
            </c:dLbl>
            <c:dLbl>
              <c:idx val="4"/>
              <c:layout>
                <c:manualLayout>
                  <c:x val="1.9824412347776835E-2"/>
                  <c:y val="-2.73897562311695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F0-45E8-ADD0-ACA0972D52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'Pedidos de Intervenção'!$H$5:$H$9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Redes</c:v>
                </c:pt>
                <c:pt idx="3">
                  <c:v>VPN</c:v>
                </c:pt>
                <c:pt idx="4">
                  <c:v>Audio-Visuais</c:v>
                </c:pt>
              </c:strCache>
            </c:strRef>
          </c:cat>
          <c:val>
            <c:numRef>
              <c:f>'Pedidos de Intervenção'!$I$5:$I$9</c:f>
              <c:numCache>
                <c:formatCode>General</c:formatCode>
                <c:ptCount val="5"/>
                <c:pt idx="0">
                  <c:v>71</c:v>
                </c:pt>
                <c:pt idx="1">
                  <c:v>24</c:v>
                </c:pt>
                <c:pt idx="2">
                  <c:v>60</c:v>
                </c:pt>
                <c:pt idx="3">
                  <c:v>16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F0-45E8-ADD0-ACA0972D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5237056"/>
        <c:axId val="995231776"/>
        <c:axId val="0"/>
      </c:bar3DChart>
      <c:catAx>
        <c:axId val="99523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5231776"/>
        <c:crosses val="autoZero"/>
        <c:auto val="1"/>
        <c:lblAlgn val="ctr"/>
        <c:lblOffset val="100"/>
        <c:noMultiLvlLbl val="0"/>
      </c:catAx>
      <c:valAx>
        <c:axId val="99523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523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s de Intervenção Mês Corrente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232414698162728"/>
          <c:y val="0.21611876640419947"/>
          <c:w val="0.41868525809273843"/>
          <c:h val="0.69780876348789733"/>
        </c:manualLayout>
      </c:layout>
      <c:radarChart>
        <c:radarStyle val="marker"/>
        <c:varyColors val="0"/>
        <c:ser>
          <c:idx val="0"/>
          <c:order val="0"/>
          <c:tx>
            <c:strRef>
              <c:f>'Pedidos de Intervenção'!$I$17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'Pedidos de Intervenção'!$H$18:$H$22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Redes</c:v>
                </c:pt>
                <c:pt idx="3">
                  <c:v>VPN</c:v>
                </c:pt>
                <c:pt idx="4">
                  <c:v>Audio-Visuais</c:v>
                </c:pt>
              </c:strCache>
            </c:strRef>
          </c:cat>
          <c:val>
            <c:numRef>
              <c:f>'Pedidos de Intervenção'!$I$18:$I$22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A-4896-B002-85296B6B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67999"/>
        <c:axId val="33974239"/>
      </c:radarChart>
      <c:catAx>
        <c:axId val="3396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4239"/>
        <c:crosses val="autoZero"/>
        <c:auto val="1"/>
        <c:lblAlgn val="ctr"/>
        <c:lblOffset val="100"/>
        <c:noMultiLvlLbl val="0"/>
      </c:catAx>
      <c:valAx>
        <c:axId val="339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7999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0</xdr:row>
      <xdr:rowOff>179070</xdr:rowOff>
    </xdr:from>
    <xdr:to>
      <xdr:col>21</xdr:col>
      <xdr:colOff>144780</xdr:colOff>
      <xdr:row>16</xdr:row>
      <xdr:rowOff>15240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F3AC6500-6603-1686-9881-39CEA990A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</xdr:colOff>
      <xdr:row>1</xdr:row>
      <xdr:rowOff>7620</xdr:rowOff>
    </xdr:from>
    <xdr:to>
      <xdr:col>10</xdr:col>
      <xdr:colOff>114300</xdr:colOff>
      <xdr:row>16</xdr:row>
      <xdr:rowOff>3810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4B9ACB-C2E2-DF0F-9C67-64286296D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217170</xdr:colOff>
      <xdr:row>0</xdr:row>
      <xdr:rowOff>156210</xdr:rowOff>
    </xdr:from>
    <xdr:to>
      <xdr:col>30</xdr:col>
      <xdr:colOff>586740</xdr:colOff>
      <xdr:row>16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F5B5D5-0864-484B-C1C1-5BD56CF37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16</xdr:row>
      <xdr:rowOff>38100</xdr:rowOff>
    </xdr:from>
    <xdr:to>
      <xdr:col>16</xdr:col>
      <xdr:colOff>121920</xdr:colOff>
      <xdr:row>31</xdr:row>
      <xdr:rowOff>121920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B32A4D-CE9B-47B7-8965-266870EE9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152400</xdr:colOff>
      <xdr:row>16</xdr:row>
      <xdr:rowOff>26670</xdr:rowOff>
    </xdr:from>
    <xdr:to>
      <xdr:col>30</xdr:col>
      <xdr:colOff>586740</xdr:colOff>
      <xdr:row>43</xdr:row>
      <xdr:rowOff>15119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8F7DB36-595B-B55F-015B-BD232C31D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22678</xdr:colOff>
      <xdr:row>31</xdr:row>
      <xdr:rowOff>181429</xdr:rowOff>
    </xdr:from>
    <xdr:to>
      <xdr:col>6</xdr:col>
      <xdr:colOff>15119</xdr:colOff>
      <xdr:row>43</xdr:row>
      <xdr:rowOff>22679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1F9FE-E2C3-49AA-8A4F-C94FEF166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D272" totalsRowShown="0" headerRowDxfId="1">
  <tableColumns count="4">
    <tableColumn id="1" xr3:uid="{00000000-0010-0000-0000-000001000000}" name="Data"/>
    <tableColumn id="2" xr3:uid="{00000000-0010-0000-0000-000002000000}" name="Serviço" dataDxfId="0"/>
    <tableColumn id="5" xr3:uid="{00000000-0010-0000-0000-000005000000}" name="Divisão"/>
    <tableColumn id="3" xr3:uid="{E73E8161-9407-4719-969D-63D47F51E411}" name="Suporte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ACAD-6C4C-44BF-A37A-52A671467770}">
  <sheetPr>
    <tabColor theme="2" tint="-0.499984740745262"/>
  </sheetPr>
  <dimension ref="A2:L35"/>
  <sheetViews>
    <sheetView topLeftCell="A3" zoomScale="126" zoomScaleNormal="126" workbookViewId="0">
      <selection activeCell="A3" sqref="A3:E16"/>
    </sheetView>
  </sheetViews>
  <sheetFormatPr defaultRowHeight="15" x14ac:dyDescent="0.25"/>
  <sheetData>
    <row r="2" spans="1:11" ht="21" x14ac:dyDescent="0.35">
      <c r="A2" s="230" t="s">
        <v>603</v>
      </c>
      <c r="B2" s="231"/>
      <c r="C2" s="231"/>
      <c r="D2" s="231"/>
      <c r="E2" s="232"/>
    </row>
    <row r="3" spans="1:11" ht="14.45" customHeight="1" x14ac:dyDescent="0.25">
      <c r="A3" s="233">
        <f>Totais!M22</f>
        <v>150</v>
      </c>
      <c r="B3" s="234"/>
      <c r="C3" s="234"/>
      <c r="D3" s="234"/>
      <c r="E3" s="235"/>
    </row>
    <row r="4" spans="1:11" ht="14.45" customHeight="1" x14ac:dyDescent="0.25">
      <c r="A4" s="233"/>
      <c r="B4" s="234"/>
      <c r="C4" s="234"/>
      <c r="D4" s="234"/>
      <c r="E4" s="235"/>
    </row>
    <row r="5" spans="1:11" ht="14.45" customHeight="1" x14ac:dyDescent="0.25">
      <c r="A5" s="233"/>
      <c r="B5" s="234"/>
      <c r="C5" s="234"/>
      <c r="D5" s="234"/>
      <c r="E5" s="235"/>
    </row>
    <row r="6" spans="1:11" ht="14.45" customHeight="1" x14ac:dyDescent="0.25">
      <c r="A6" s="233"/>
      <c r="B6" s="234"/>
      <c r="C6" s="234"/>
      <c r="D6" s="234"/>
      <c r="E6" s="235"/>
    </row>
    <row r="7" spans="1:11" ht="14.45" customHeight="1" x14ac:dyDescent="0.25">
      <c r="A7" s="233"/>
      <c r="B7" s="234"/>
      <c r="C7" s="234"/>
      <c r="D7" s="234"/>
      <c r="E7" s="235"/>
    </row>
    <row r="8" spans="1:11" ht="14.45" customHeight="1" x14ac:dyDescent="0.25">
      <c r="A8" s="233"/>
      <c r="B8" s="234"/>
      <c r="C8" s="234"/>
      <c r="D8" s="234"/>
      <c r="E8" s="235"/>
    </row>
    <row r="9" spans="1:11" ht="14.45" customHeight="1" x14ac:dyDescent="0.25">
      <c r="A9" s="233"/>
      <c r="B9" s="234"/>
      <c r="C9" s="234"/>
      <c r="D9" s="234"/>
      <c r="E9" s="235"/>
      <c r="K9">
        <f>+'Pedidos de Intervenção'!K192026</f>
        <v>0</v>
      </c>
    </row>
    <row r="10" spans="1:11" ht="14.45" customHeight="1" x14ac:dyDescent="0.25">
      <c r="A10" s="233"/>
      <c r="B10" s="234"/>
      <c r="C10" s="234"/>
      <c r="D10" s="234"/>
      <c r="E10" s="235"/>
    </row>
    <row r="11" spans="1:11" ht="14.45" customHeight="1" x14ac:dyDescent="0.25">
      <c r="A11" s="233"/>
      <c r="B11" s="234"/>
      <c r="C11" s="234"/>
      <c r="D11" s="234"/>
      <c r="E11" s="235"/>
    </row>
    <row r="12" spans="1:11" ht="14.45" customHeight="1" x14ac:dyDescent="0.25">
      <c r="A12" s="233"/>
      <c r="B12" s="234"/>
      <c r="C12" s="234"/>
      <c r="D12" s="234"/>
      <c r="E12" s="235"/>
    </row>
    <row r="13" spans="1:11" ht="14.45" customHeight="1" x14ac:dyDescent="0.25">
      <c r="A13" s="233"/>
      <c r="B13" s="234"/>
      <c r="C13" s="234"/>
      <c r="D13" s="234"/>
      <c r="E13" s="235"/>
    </row>
    <row r="14" spans="1:11" ht="14.45" customHeight="1" x14ac:dyDescent="0.25">
      <c r="A14" s="233"/>
      <c r="B14" s="234"/>
      <c r="C14" s="234"/>
      <c r="D14" s="234"/>
      <c r="E14" s="235"/>
    </row>
    <row r="15" spans="1:11" ht="14.45" customHeight="1" x14ac:dyDescent="0.25">
      <c r="A15" s="233"/>
      <c r="B15" s="234"/>
      <c r="C15" s="234"/>
      <c r="D15" s="234"/>
      <c r="E15" s="235"/>
    </row>
    <row r="16" spans="1:11" ht="14.45" customHeight="1" x14ac:dyDescent="0.25">
      <c r="A16" s="236"/>
      <c r="B16" s="237"/>
      <c r="C16" s="237"/>
      <c r="D16" s="237"/>
      <c r="E16" s="238"/>
    </row>
    <row r="35" spans="12:12" x14ac:dyDescent="0.25">
      <c r="L35" t="s">
        <v>782</v>
      </c>
    </row>
  </sheetData>
  <mergeCells count="2">
    <mergeCell ref="A2:E2"/>
    <mergeCell ref="A3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opLeftCell="A3" zoomScale="91" zoomScaleNormal="91" zoomScalePageLayoutView="80" workbookViewId="0">
      <selection activeCell="F64" sqref="F64"/>
    </sheetView>
  </sheetViews>
  <sheetFormatPr defaultColWidth="9.140625" defaultRowHeight="15" x14ac:dyDescent="0.25"/>
  <cols>
    <col min="1" max="1" width="12.42578125" style="17" bestFit="1" customWidth="1"/>
    <col min="2" max="2" width="13.42578125" style="17" customWidth="1"/>
    <col min="3" max="3" width="32.42578125" style="1" customWidth="1"/>
    <col min="4" max="4" width="19.42578125" style="1" hidden="1" customWidth="1"/>
    <col min="5" max="5" width="42.42578125" style="1" bestFit="1" customWidth="1"/>
    <col min="6" max="6" width="11.140625" style="1" customWidth="1"/>
    <col min="7" max="7" width="10.42578125" style="1" customWidth="1"/>
    <col min="8" max="8" width="10.140625" style="1" customWidth="1"/>
    <col min="9" max="9" width="10" style="1" customWidth="1"/>
    <col min="10" max="10" width="12.140625" style="1" bestFit="1" customWidth="1"/>
    <col min="11" max="11" width="115.4257812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0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8" customHeight="1" x14ac:dyDescent="0.2">
      <c r="A5" s="11"/>
      <c r="B5" s="6">
        <v>46027</v>
      </c>
      <c r="C5" s="3" t="s">
        <v>131</v>
      </c>
      <c r="E5" s="12" t="str">
        <f>IF(C5&gt;0,LOOKUP(C5,'Lista de Escolas'!$C$3:$C$178,'Lista de Escolas'!$E$3:$E$178),"")</f>
        <v>Escolas Rainha Santa Isabel</v>
      </c>
      <c r="F5" s="12"/>
      <c r="G5" s="12"/>
      <c r="H5" s="12">
        <v>1</v>
      </c>
      <c r="I5" s="12"/>
      <c r="J5" s="12"/>
      <c r="K5" s="90" t="s">
        <v>541</v>
      </c>
      <c r="L5" s="12"/>
    </row>
    <row r="6" spans="1:13" s="4" customFormat="1" ht="18" customHeight="1" x14ac:dyDescent="0.2">
      <c r="A6" s="11"/>
      <c r="B6" s="6">
        <v>46027</v>
      </c>
      <c r="C6" s="3" t="s">
        <v>152</v>
      </c>
      <c r="E6" s="12" t="str">
        <f>IF(C6&gt;0,LOOKUP(C6,'Lista de Escolas'!$C$3:$C$178,'Lista de Escolas'!$E$3:$E$178),"")</f>
        <v>Henrique Sommer</v>
      </c>
      <c r="F6" s="12">
        <v>1</v>
      </c>
      <c r="G6" s="12"/>
      <c r="H6" s="12">
        <v>1</v>
      </c>
      <c r="I6" s="12"/>
      <c r="J6" s="12"/>
      <c r="K6" s="90" t="s">
        <v>542</v>
      </c>
      <c r="L6" s="12"/>
    </row>
    <row r="7" spans="1:13" s="4" customFormat="1" ht="18" customHeight="1" x14ac:dyDescent="0.2">
      <c r="A7" s="11"/>
      <c r="B7" s="6">
        <v>46028</v>
      </c>
      <c r="C7" s="12" t="s">
        <v>10</v>
      </c>
      <c r="E7" s="12" t="str">
        <f>IF(C7&gt;0,LOOKUP(C7,'Lista de Escolas'!$C$3:$C$178,'Lista de Escolas'!$E$3:$E$178),"")</f>
        <v>Escolas Domingos Sequeira</v>
      </c>
      <c r="F7" s="12"/>
      <c r="G7" s="12"/>
      <c r="H7" s="12"/>
      <c r="I7" s="12">
        <v>1</v>
      </c>
      <c r="J7" s="12"/>
      <c r="K7" s="91" t="s">
        <v>543</v>
      </c>
      <c r="L7" s="12"/>
    </row>
    <row r="8" spans="1:13" s="4" customFormat="1" ht="18" customHeight="1" x14ac:dyDescent="0.2">
      <c r="A8" s="11"/>
      <c r="B8" s="6">
        <v>46029</v>
      </c>
      <c r="C8" s="12" t="s">
        <v>544</v>
      </c>
      <c r="D8" s="12"/>
      <c r="E8" s="12" t="str">
        <f>IF(C8&gt;0,LOOKUP(C8,'Lista de Escolas'!$C$3:$C$178,'Lista de Escolas'!$E$3:$E$178),"")</f>
        <v>Escolas Domingos Sequeira</v>
      </c>
      <c r="F8" s="12"/>
      <c r="G8" s="12"/>
      <c r="H8" s="12">
        <v>1</v>
      </c>
      <c r="I8" s="12">
        <v>1</v>
      </c>
      <c r="J8" s="3"/>
      <c r="K8" s="4" t="s">
        <v>545</v>
      </c>
      <c r="L8" s="3"/>
    </row>
    <row r="9" spans="1:13" s="4" customFormat="1" ht="18" customHeight="1" x14ac:dyDescent="0.2">
      <c r="A9" s="11"/>
      <c r="B9" s="6">
        <v>46029</v>
      </c>
      <c r="C9" s="12" t="s">
        <v>546</v>
      </c>
      <c r="D9" s="12"/>
      <c r="E9" s="12" t="str">
        <f>IF(C9&gt;0,LOOKUP(C9,'Lista de Escolas'!$C$3:$C$178,'Lista de Escolas'!$E$3:$E$178),"")</f>
        <v>Escolas Domingos Sequeira</v>
      </c>
      <c r="F9" s="12"/>
      <c r="G9" s="12"/>
      <c r="H9" s="12">
        <v>1</v>
      </c>
      <c r="I9" s="12"/>
      <c r="J9" s="12"/>
      <c r="K9" s="4" t="s">
        <v>547</v>
      </c>
      <c r="L9" s="12"/>
    </row>
    <row r="10" spans="1:13" s="4" customFormat="1" ht="18" customHeight="1" x14ac:dyDescent="0.2">
      <c r="A10" s="11"/>
      <c r="B10" s="6">
        <v>46029</v>
      </c>
      <c r="C10" s="12" t="s">
        <v>66</v>
      </c>
      <c r="D10" s="12"/>
      <c r="E10" s="12" t="str">
        <f>IF(C10&gt;0,LOOKUP(C10,'Lista de Escolas'!$C$3:$C$178,'Lista de Escolas'!$E$3:$E$178),"")</f>
        <v>Henrique Sommer</v>
      </c>
      <c r="F10" s="12"/>
      <c r="G10" s="12"/>
      <c r="H10" s="12">
        <v>1</v>
      </c>
      <c r="I10" s="12"/>
      <c r="J10" s="12"/>
      <c r="K10" s="91" t="s">
        <v>548</v>
      </c>
      <c r="L10" s="3"/>
    </row>
    <row r="11" spans="1:13" s="4" customFormat="1" ht="18" customHeight="1" x14ac:dyDescent="0.2">
      <c r="A11" s="11"/>
      <c r="B11" s="6">
        <v>46030</v>
      </c>
      <c r="C11" s="12" t="s">
        <v>225</v>
      </c>
      <c r="D11" s="12"/>
      <c r="E11" s="12" t="str">
        <f>IF(C11&gt;0,LOOKUP(C11,'Lista de Escolas'!$C$3:$C$178,'Lista de Escolas'!$E$3:$E$178),"")</f>
        <v>Escolas Rainha Santa Isabel</v>
      </c>
      <c r="F11" s="12">
        <v>1</v>
      </c>
      <c r="G11" s="12"/>
      <c r="H11" s="12"/>
      <c r="I11" s="12"/>
      <c r="J11" s="12"/>
      <c r="K11" s="90" t="s">
        <v>550</v>
      </c>
      <c r="L11" s="12"/>
    </row>
    <row r="12" spans="1:13" s="4" customFormat="1" ht="18" customHeight="1" x14ac:dyDescent="0.2">
      <c r="A12" s="11"/>
      <c r="B12" s="6">
        <v>46030</v>
      </c>
      <c r="C12" s="108" t="s">
        <v>281</v>
      </c>
      <c r="D12" s="12"/>
      <c r="E12" s="12" t="str">
        <f>IF(C12&gt;0,LOOKUP(C12,'Lista de Escolas'!$C$3:$C$178,'Lista de Escolas'!$E$3:$E$178),"")</f>
        <v>Henrique Sommer</v>
      </c>
      <c r="F12" s="12">
        <v>1</v>
      </c>
      <c r="G12" s="12">
        <v>1</v>
      </c>
      <c r="H12" s="12"/>
      <c r="I12" s="12"/>
      <c r="J12" s="3"/>
      <c r="K12" s="4" t="s">
        <v>551</v>
      </c>
      <c r="L12" s="12"/>
    </row>
    <row r="13" spans="1:13" s="4" customFormat="1" ht="18" customHeight="1" x14ac:dyDescent="0.2">
      <c r="A13" s="11"/>
      <c r="B13" s="6">
        <v>46030</v>
      </c>
      <c r="C13" s="108" t="s">
        <v>30</v>
      </c>
      <c r="D13" s="12"/>
      <c r="E13" s="12" t="str">
        <f>IF(C13&gt;0,LOOKUP(C13,'Lista de Escolas'!$C$3:$C$178,'Lista de Escolas'!$E$3:$E$178),"")</f>
        <v>Escolas Domingos Sequeira</v>
      </c>
      <c r="F13" s="12">
        <v>1</v>
      </c>
      <c r="G13" s="12">
        <v>1</v>
      </c>
      <c r="H13" s="12"/>
      <c r="I13" s="12"/>
      <c r="J13" s="3"/>
      <c r="K13" s="4" t="s">
        <v>552</v>
      </c>
      <c r="L13" s="12"/>
    </row>
    <row r="14" spans="1:13" s="4" customFormat="1" ht="18" customHeight="1" x14ac:dyDescent="0.2">
      <c r="A14" s="22"/>
      <c r="B14" s="6">
        <v>46031</v>
      </c>
      <c r="C14" s="3" t="s">
        <v>86</v>
      </c>
      <c r="D14" s="3"/>
      <c r="E14" s="12" t="str">
        <f>IF(C14&gt;0,LOOKUP(C14,'Lista de Escolas'!$C$3:$C$176,'Lista de Escolas'!$E$3:$E$176),"")</f>
        <v>Escolas Rainha Santa Isabel</v>
      </c>
      <c r="F14" s="12">
        <v>1</v>
      </c>
      <c r="G14" s="12"/>
      <c r="H14" s="12"/>
      <c r="I14" s="12"/>
      <c r="J14" s="12">
        <v>1</v>
      </c>
      <c r="K14" s="91" t="s">
        <v>553</v>
      </c>
      <c r="L14" s="12"/>
    </row>
    <row r="15" spans="1:13" ht="18" customHeight="1" x14ac:dyDescent="0.25">
      <c r="A15" s="22"/>
      <c r="B15" s="6">
        <v>46031</v>
      </c>
      <c r="C15" s="12" t="s">
        <v>148</v>
      </c>
      <c r="D15" s="3"/>
      <c r="E15" s="12" t="str">
        <f>IF(C15&gt;0,LOOKUP(C15,'Lista de Escolas'!$C$3:$C$176,'Lista de Escolas'!$E$3:$E$176),"")</f>
        <v>Escolas Rainha Santa Isabel</v>
      </c>
      <c r="F15" s="12"/>
      <c r="G15" s="12"/>
      <c r="H15" s="12"/>
      <c r="I15" s="12">
        <v>1</v>
      </c>
      <c r="J15" s="3"/>
      <c r="K15" s="90" t="s">
        <v>554</v>
      </c>
      <c r="L15" s="3"/>
      <c r="M15" s="3"/>
    </row>
    <row r="16" spans="1:13" ht="18" customHeight="1" x14ac:dyDescent="0.25">
      <c r="A16" s="22"/>
      <c r="B16" s="6">
        <v>46031</v>
      </c>
      <c r="C16" s="12" t="s">
        <v>555</v>
      </c>
      <c r="D16" s="12"/>
      <c r="E16" s="12" t="str">
        <f>IF(C16&gt;0,LOOKUP(C16,'Lista de Escolas'!$C$3:$C$174,'Lista de Escolas'!$E$3:$E$174),"")</f>
        <v>Escolas Rainha Santa Isabel</v>
      </c>
      <c r="F16" s="12">
        <v>1</v>
      </c>
      <c r="G16" s="12"/>
      <c r="H16" s="12">
        <v>1</v>
      </c>
      <c r="I16" s="12"/>
      <c r="J16" s="3"/>
      <c r="K16" s="4" t="s">
        <v>556</v>
      </c>
      <c r="L16" s="3"/>
    </row>
    <row r="17" spans="1:12" s="13" customFormat="1" ht="18" customHeight="1" x14ac:dyDescent="0.2">
      <c r="A17" s="22"/>
      <c r="B17" s="6">
        <v>46031</v>
      </c>
      <c r="C17" s="20" t="s">
        <v>138</v>
      </c>
      <c r="D17" s="20"/>
      <c r="E17" s="12" t="str">
        <f>IF(C17&gt;0,LOOKUP(C17,'Lista de Escolas'!$C$3:$C$174,'Lista de Escolas'!$E$3:$E$174),"")</f>
        <v>Escolas Domingos Sequeira</v>
      </c>
      <c r="F17" s="12">
        <v>1</v>
      </c>
      <c r="G17" s="12"/>
      <c r="H17" s="12"/>
      <c r="I17" s="12"/>
      <c r="J17" s="12"/>
      <c r="K17" s="91" t="s">
        <v>557</v>
      </c>
      <c r="L17" s="12"/>
    </row>
    <row r="18" spans="1:12" ht="18" customHeight="1" x14ac:dyDescent="0.25">
      <c r="A18" s="22"/>
      <c r="B18" s="6">
        <v>46034</v>
      </c>
      <c r="C18" s="20" t="s">
        <v>558</v>
      </c>
      <c r="D18" s="20"/>
      <c r="E18" s="12" t="str">
        <f>IF(C18&gt;0,LOOKUP(C18,'Lista de Escolas'!$C$3:$C$174,'Lista de Escolas'!$E$3:$E$174),"")</f>
        <v>Escolas Rainha Santa Isabel</v>
      </c>
      <c r="F18" s="12"/>
      <c r="G18" s="12"/>
      <c r="H18" s="12"/>
      <c r="I18" s="12">
        <v>1</v>
      </c>
      <c r="J18" s="20"/>
      <c r="K18" s="91" t="s">
        <v>559</v>
      </c>
      <c r="L18" s="3"/>
    </row>
    <row r="19" spans="1:12" ht="18" customHeight="1" x14ac:dyDescent="0.25">
      <c r="A19" s="22"/>
      <c r="B19" s="6">
        <v>46034</v>
      </c>
      <c r="C19" s="3" t="s">
        <v>86</v>
      </c>
      <c r="D19" s="3"/>
      <c r="E19" s="12" t="str">
        <f>IF(C19&gt;0,LOOKUP(C19,'Lista de Escolas'!$C$3:$C$174,'Lista de Escolas'!$E$3:$E$174),"")</f>
        <v>Escolas Rainha Santa Isabel</v>
      </c>
      <c r="F19" s="12">
        <v>1</v>
      </c>
      <c r="G19" s="12"/>
      <c r="H19" s="12"/>
      <c r="I19" s="12"/>
      <c r="J19" s="20"/>
      <c r="K19" s="91" t="s">
        <v>560</v>
      </c>
      <c r="L19" s="3"/>
    </row>
    <row r="20" spans="1:12" ht="18" customHeight="1" x14ac:dyDescent="0.25">
      <c r="A20" s="22"/>
      <c r="B20" s="6">
        <v>46034</v>
      </c>
      <c r="C20" s="3" t="s">
        <v>88</v>
      </c>
      <c r="D20" s="3"/>
      <c r="E20" s="12" t="str">
        <f>IF(C20&gt;0,LOOKUP(C20,'Lista de Escolas'!$C$3:$C$174,'Lista de Escolas'!$E$3:$E$174),"")</f>
        <v>Escolas Dr. Correia Mateus</v>
      </c>
      <c r="F20" s="12"/>
      <c r="G20" s="12"/>
      <c r="H20" s="12">
        <v>1</v>
      </c>
      <c r="I20" s="12"/>
      <c r="J20" s="3"/>
      <c r="K20" s="4" t="s">
        <v>561</v>
      </c>
      <c r="L20" s="3"/>
    </row>
    <row r="21" spans="1:12" ht="18" customHeight="1" x14ac:dyDescent="0.25">
      <c r="A21" s="22"/>
      <c r="B21" s="25">
        <v>46034</v>
      </c>
      <c r="C21" s="3" t="s">
        <v>566</v>
      </c>
      <c r="D21" s="3"/>
      <c r="E21" s="12" t="str">
        <f>IF(C21&gt;0,LOOKUP(C21,'Lista de Escolas'!$C$3:$C$174,'Lista de Escolas'!$E$3:$E$174),"")</f>
        <v>Escolas Rainha Santa Isabel</v>
      </c>
      <c r="F21" s="12">
        <v>1</v>
      </c>
      <c r="G21" s="12"/>
      <c r="H21" s="12"/>
      <c r="I21" s="12">
        <v>1</v>
      </c>
      <c r="J21" s="3"/>
      <c r="K21" s="4" t="s">
        <v>564</v>
      </c>
      <c r="L21" s="12"/>
    </row>
    <row r="22" spans="1:12" ht="18" customHeight="1" x14ac:dyDescent="0.25">
      <c r="A22" s="22"/>
      <c r="B22" s="25">
        <v>46035</v>
      </c>
      <c r="C22" s="192" t="s">
        <v>562</v>
      </c>
      <c r="D22" s="192"/>
      <c r="E22" s="193" t="str">
        <f>IF(C22&gt;0,LOOKUP(C22,'Lista de Escolas'!$C$3:$C$174,'Lista de Escolas'!$E$3:$E$174),"")</f>
        <v>Escolas Rainha Santa Isabel</v>
      </c>
      <c r="F22" s="193">
        <v>1</v>
      </c>
      <c r="G22" s="193"/>
      <c r="H22" s="193"/>
      <c r="I22" s="193"/>
      <c r="J22" s="3"/>
      <c r="K22" s="4" t="s">
        <v>563</v>
      </c>
      <c r="L22" s="3"/>
    </row>
    <row r="23" spans="1:12" ht="18" customHeight="1" x14ac:dyDescent="0.25">
      <c r="A23" s="22"/>
      <c r="B23" s="25">
        <v>46035</v>
      </c>
      <c r="C23" s="193" t="s">
        <v>565</v>
      </c>
      <c r="D23" s="193"/>
      <c r="E23" s="193" t="str">
        <f>IF(C23&gt;0,LOOKUP(C23,'Lista de Escolas'!$C$3:$C$174,'Lista de Escolas'!$E$3:$E$174),"")</f>
        <v>Escolas Domingos Sequeira</v>
      </c>
      <c r="F23" s="193">
        <v>1</v>
      </c>
      <c r="G23" s="193"/>
      <c r="H23" s="193"/>
      <c r="I23" s="193"/>
      <c r="J23" s="3"/>
      <c r="K23" s="4" t="s">
        <v>563</v>
      </c>
      <c r="L23" s="3"/>
    </row>
    <row r="24" spans="1:12" ht="18" customHeight="1" x14ac:dyDescent="0.25">
      <c r="A24" s="22"/>
      <c r="B24" s="25">
        <v>46036</v>
      </c>
      <c r="C24" s="192" t="s">
        <v>11</v>
      </c>
      <c r="D24"/>
      <c r="E24" s="193" t="str">
        <f>IF(C24&gt;0,LOOKUP(C24,'Lista de Escolas'!$C$3:$C$174,'Lista de Escolas'!$E$3:$E$174),"")</f>
        <v>Escolas Dr. Correia Mateus</v>
      </c>
      <c r="F24" s="193">
        <v>1</v>
      </c>
      <c r="G24" s="193">
        <v>1</v>
      </c>
      <c r="H24" s="193"/>
      <c r="I24" s="193"/>
      <c r="J24" s="12"/>
      <c r="K24" s="91" t="s">
        <v>567</v>
      </c>
      <c r="L24" s="3"/>
    </row>
    <row r="25" spans="1:12" x14ac:dyDescent="0.25">
      <c r="A25" s="22"/>
      <c r="B25" s="25">
        <v>46038</v>
      </c>
      <c r="C25" s="193" t="s">
        <v>11</v>
      </c>
      <c r="D25" s="192"/>
      <c r="E25" s="193" t="str">
        <f>IF(C25&gt;0,LOOKUP(C25,'Lista de Escolas'!$C$3:$C$174,'Lista de Escolas'!$E$3:$E$174),"")</f>
        <v>Escolas Dr. Correia Mateus</v>
      </c>
      <c r="F25" s="193">
        <v>1</v>
      </c>
      <c r="G25" s="193">
        <v>1</v>
      </c>
      <c r="H25" s="193"/>
      <c r="I25" s="193"/>
      <c r="J25" s="3"/>
      <c r="K25" s="91" t="s">
        <v>568</v>
      </c>
      <c r="L25" s="12"/>
    </row>
    <row r="26" spans="1:12" x14ac:dyDescent="0.25">
      <c r="A26" s="22"/>
      <c r="B26" s="25">
        <v>46038</v>
      </c>
      <c r="C26" s="12" t="s">
        <v>569</v>
      </c>
      <c r="D26" s="3"/>
      <c r="E26" s="12" t="str">
        <f>IF(C26&gt;0,LOOKUP(C26,'Lista de Escolas'!$C$3:$C$174,'Lista de Escolas'!$E$3:$E$174),"")</f>
        <v>Escolas Dr. Correia Mateus</v>
      </c>
      <c r="F26" s="12"/>
      <c r="G26" s="12">
        <v>1</v>
      </c>
      <c r="H26" s="12">
        <v>1</v>
      </c>
      <c r="I26" s="12"/>
      <c r="J26" s="12"/>
      <c r="K26" s="91" t="s">
        <v>570</v>
      </c>
      <c r="L26" s="3"/>
    </row>
    <row r="27" spans="1:12" x14ac:dyDescent="0.25">
      <c r="A27" s="22"/>
      <c r="B27" s="25">
        <v>46038</v>
      </c>
      <c r="C27" s="3" t="s">
        <v>47</v>
      </c>
      <c r="D27" s="3"/>
      <c r="E27" s="12" t="str">
        <f>IF(C27&gt;0,LOOKUP(C27,'Lista de Escolas'!$C$3:$C$174,'Lista de Escolas'!$E$3:$E$174),"")</f>
        <v>Escolas Dr. Correia Mateus</v>
      </c>
      <c r="F27" s="12">
        <v>1</v>
      </c>
      <c r="G27" s="12">
        <v>1</v>
      </c>
      <c r="H27" s="12"/>
      <c r="I27" s="12"/>
      <c r="J27" s="12"/>
      <c r="K27" s="4" t="s">
        <v>571</v>
      </c>
      <c r="L27" s="3"/>
    </row>
    <row r="28" spans="1:12" x14ac:dyDescent="0.25">
      <c r="A28" s="22"/>
      <c r="B28" s="25">
        <v>46038</v>
      </c>
      <c r="C28" s="3" t="s">
        <v>46</v>
      </c>
      <c r="D28" s="3"/>
      <c r="E28" s="12" t="str">
        <f>IF(C28&gt;0,LOOKUP(C28,'Lista de Escolas'!$C$3:$C$174,'Lista de Escolas'!$E$3:$E$174),"")</f>
        <v>Escolas Dr. Correia Mateus</v>
      </c>
      <c r="F28" s="12">
        <v>1</v>
      </c>
      <c r="G28" s="12">
        <v>1</v>
      </c>
      <c r="H28" s="12"/>
      <c r="I28" s="12"/>
      <c r="J28" s="12"/>
      <c r="K28" s="4" t="s">
        <v>567</v>
      </c>
      <c r="L28" s="3"/>
    </row>
    <row r="29" spans="1:12" x14ac:dyDescent="0.25">
      <c r="A29" s="22"/>
      <c r="B29" s="25">
        <v>46038</v>
      </c>
      <c r="C29" s="3" t="s">
        <v>119</v>
      </c>
      <c r="D29" s="3"/>
      <c r="E29" s="12" t="str">
        <f>IF(C29&gt;0,LOOKUP(C29,'Lista de Escolas'!$C$3:$C$174,'Lista de Escolas'!$E$3:$E$174),"")</f>
        <v>Escolas Dr. Correia Mateus</v>
      </c>
      <c r="F29" s="12">
        <v>1</v>
      </c>
      <c r="G29" s="12"/>
      <c r="H29" s="12">
        <v>1</v>
      </c>
      <c r="I29" s="12"/>
      <c r="J29" s="12"/>
      <c r="K29" s="4" t="s">
        <v>572</v>
      </c>
      <c r="L29" s="3"/>
    </row>
    <row r="30" spans="1:12" x14ac:dyDescent="0.25">
      <c r="A30" s="22"/>
      <c r="B30" s="22">
        <v>46044</v>
      </c>
      <c r="C30" s="12" t="s">
        <v>81</v>
      </c>
      <c r="D30" s="12"/>
      <c r="E30" s="12" t="str">
        <f>IF(C30&gt;0,LOOKUP(C30,'Lista de Escolas'!$C$3:$C$174,'Lista de Escolas'!$E$3:$E$174),"")</f>
        <v>Escolas Rainha Santa Isabel</v>
      </c>
      <c r="F30" s="12">
        <v>1</v>
      </c>
      <c r="G30" s="12">
        <v>1</v>
      </c>
      <c r="H30" s="12"/>
      <c r="I30" s="12"/>
      <c r="J30" s="12"/>
      <c r="K30" s="4" t="s">
        <v>576</v>
      </c>
      <c r="L30" s="12"/>
    </row>
    <row r="31" spans="1:12" x14ac:dyDescent="0.25">
      <c r="A31" s="22"/>
      <c r="B31" s="22">
        <v>46044</v>
      </c>
      <c r="C31" s="3" t="s">
        <v>46</v>
      </c>
      <c r="D31" s="3"/>
      <c r="E31" s="12" t="str">
        <f>IF(C31&gt;0,LOOKUP(C31,'Lista de Escolas'!$C$3:$C$174,'Lista de Escolas'!$E$3:$E$174),"")</f>
        <v>Escolas Dr. Correia Mateus</v>
      </c>
      <c r="F31" s="12">
        <v>1</v>
      </c>
      <c r="G31" s="12">
        <v>1</v>
      </c>
      <c r="H31" s="12"/>
      <c r="I31" s="12"/>
      <c r="J31" s="3"/>
      <c r="K31" s="4" t="s">
        <v>577</v>
      </c>
      <c r="L31" s="12"/>
    </row>
    <row r="32" spans="1:12" x14ac:dyDescent="0.25">
      <c r="A32" s="22"/>
      <c r="B32" s="22">
        <v>46044</v>
      </c>
      <c r="C32" s="20" t="s">
        <v>575</v>
      </c>
      <c r="D32" s="20"/>
      <c r="E32" s="12" t="str">
        <f>IF(C32&gt;0,LOOKUP(C32,'Lista de Escolas'!$C$3:$C$174,'Lista de Escolas'!$E$3:$E$174),"")</f>
        <v>Escolas Dr. Correia Mateus</v>
      </c>
      <c r="F32" s="12"/>
      <c r="G32" s="12"/>
      <c r="H32" s="12">
        <v>1</v>
      </c>
      <c r="I32" s="12"/>
      <c r="J32" s="12"/>
      <c r="K32" s="91" t="s">
        <v>578</v>
      </c>
      <c r="L32" s="3"/>
    </row>
    <row r="33" spans="1:13" x14ac:dyDescent="0.25">
      <c r="A33" s="22"/>
      <c r="B33" s="22">
        <v>46044</v>
      </c>
      <c r="C33" s="23" t="s">
        <v>574</v>
      </c>
      <c r="D33" s="23"/>
      <c r="E33" s="12" t="str">
        <f>IF(C33&gt;0,LOOKUP(C33,'Lista de Escolas'!$C$3:$C$174,'Lista de Escolas'!$E$3:$E$174),"")</f>
        <v>Escolas Dr. Correia Mateus</v>
      </c>
      <c r="F33" s="12">
        <v>1</v>
      </c>
      <c r="G33" s="12"/>
      <c r="H33" s="12"/>
      <c r="I33" s="12"/>
      <c r="J33" s="12">
        <v>1</v>
      </c>
      <c r="K33" s="14" t="s">
        <v>579</v>
      </c>
      <c r="L33" s="12"/>
    </row>
    <row r="34" spans="1:13" ht="16.5" customHeight="1" x14ac:dyDescent="0.25">
      <c r="A34" s="22"/>
      <c r="B34" s="22">
        <v>46045</v>
      </c>
      <c r="C34" s="20" t="s">
        <v>148</v>
      </c>
      <c r="D34" s="20"/>
      <c r="E34" s="12" t="str">
        <f>IF(C34&gt;0,LOOKUP(C34,'Lista de Escolas'!$C$3:$C$174,'Lista de Escolas'!$E$3:$E$174),"")</f>
        <v>Escolas Rainha Santa Isabel</v>
      </c>
      <c r="F34" s="12"/>
      <c r="G34" s="12"/>
      <c r="H34" s="12"/>
      <c r="I34" s="12"/>
      <c r="J34" s="12">
        <v>1</v>
      </c>
      <c r="K34" s="118" t="s">
        <v>580</v>
      </c>
      <c r="L34" s="3"/>
    </row>
    <row r="35" spans="1:13" x14ac:dyDescent="0.25">
      <c r="A35" s="22"/>
      <c r="B35" s="22">
        <v>46045</v>
      </c>
      <c r="C35" s="20" t="s">
        <v>86</v>
      </c>
      <c r="D35" s="20"/>
      <c r="E35" s="12" t="str">
        <f>IF(C35&gt;0,LOOKUP(C35,'Lista de Escolas'!$C$3:$C$174,'Lista de Escolas'!$E$3:$E$174),"")</f>
        <v>Escolas Rainha Santa Isabel</v>
      </c>
      <c r="F35" s="12"/>
      <c r="G35" s="12">
        <v>1</v>
      </c>
      <c r="H35" s="12"/>
      <c r="I35" s="12"/>
      <c r="J35" s="12"/>
      <c r="K35" s="14" t="s">
        <v>581</v>
      </c>
      <c r="L35" s="12"/>
    </row>
    <row r="36" spans="1:13" x14ac:dyDescent="0.25">
      <c r="A36" s="22"/>
      <c r="B36" s="22">
        <v>46045</v>
      </c>
      <c r="C36" s="23" t="s">
        <v>186</v>
      </c>
      <c r="D36" s="23"/>
      <c r="E36" s="12" t="e">
        <f>IF(C36&gt;0,LOOKUP(C36,'Lista de Escolas'!$C$3:$C$174,'Lista de Escolas'!$E$3:$E$174),"")</f>
        <v>#N/A</v>
      </c>
      <c r="F36" s="12">
        <v>1</v>
      </c>
      <c r="G36" s="12">
        <v>1</v>
      </c>
      <c r="H36" s="12"/>
      <c r="I36" s="12"/>
      <c r="J36" s="3"/>
      <c r="K36" s="5" t="s">
        <v>582</v>
      </c>
      <c r="L36" s="3"/>
    </row>
    <row r="37" spans="1:13" x14ac:dyDescent="0.25">
      <c r="A37" s="22"/>
      <c r="B37" s="22">
        <v>46045</v>
      </c>
      <c r="C37" s="23" t="s">
        <v>573</v>
      </c>
      <c r="D37" s="23"/>
      <c r="E37" s="12" t="str">
        <f>IF(C37&gt;0,LOOKUP(C37,'Lista de Escolas'!$C$3:$C$174,'Lista de Escolas'!$E$3:$E$174),"")</f>
        <v>Escolas Rainha Santa Isabel</v>
      </c>
      <c r="F37" s="12">
        <v>1</v>
      </c>
      <c r="G37" s="12">
        <v>1</v>
      </c>
      <c r="H37" s="12"/>
      <c r="I37" s="12"/>
      <c r="J37" s="20"/>
      <c r="K37" s="21" t="s">
        <v>576</v>
      </c>
    </row>
    <row r="38" spans="1:13" x14ac:dyDescent="0.25">
      <c r="A38" s="22"/>
      <c r="B38" s="22">
        <v>46045</v>
      </c>
      <c r="C38" s="20" t="s">
        <v>24</v>
      </c>
      <c r="D38" s="20"/>
      <c r="E38" s="12" t="e">
        <f>IF(C38&gt;0,LOOKUP(C38,'Lista de Escolas'!$C$3:$C$174,'Lista de Escolas'!$E$3:$E$174),"")</f>
        <v>#N/A</v>
      </c>
      <c r="F38" s="12">
        <v>1</v>
      </c>
      <c r="G38" s="12">
        <v>1</v>
      </c>
      <c r="H38" s="12"/>
      <c r="I38" s="12"/>
      <c r="J38" s="23"/>
      <c r="K38" s="24" t="s">
        <v>583</v>
      </c>
      <c r="L38" s="23"/>
      <c r="M38" s="92"/>
    </row>
    <row r="39" spans="1:13" x14ac:dyDescent="0.25">
      <c r="A39" s="22"/>
      <c r="B39" s="22">
        <v>46049</v>
      </c>
      <c r="C39" s="20" t="s">
        <v>89</v>
      </c>
      <c r="E39" s="12" t="str">
        <f>IF(C39&gt;0,LOOKUP(C39,'Lista de Escolas'!$C$3:$C$174,'Lista de Escolas'!$E$3:$E$174),"")</f>
        <v>Escolas Dr. Correia Mateus</v>
      </c>
      <c r="F39" s="12"/>
      <c r="G39" s="12"/>
      <c r="H39" s="12">
        <v>1</v>
      </c>
      <c r="I39" s="12"/>
      <c r="J39" s="20"/>
      <c r="K39" s="21" t="s">
        <v>584</v>
      </c>
      <c r="L39" s="20"/>
      <c r="M39" s="92"/>
    </row>
    <row r="40" spans="1:13" x14ac:dyDescent="0.25">
      <c r="A40" s="22"/>
      <c r="B40" s="22">
        <v>46049</v>
      </c>
      <c r="C40" s="20" t="s">
        <v>585</v>
      </c>
      <c r="E40" s="12" t="str">
        <f>IF(C40&gt;0,LOOKUP(C40,'Lista de Escolas'!$C$3:$C$174,'Lista de Escolas'!$E$3:$E$174),"")</f>
        <v>Escolas Rainha Santa Isabel</v>
      </c>
      <c r="F40" s="12"/>
      <c r="G40" s="12"/>
      <c r="H40" s="12">
        <v>1</v>
      </c>
      <c r="I40" s="12"/>
      <c r="J40" s="20"/>
      <c r="K40" s="21" t="s">
        <v>586</v>
      </c>
      <c r="L40" s="23"/>
      <c r="M40" s="92"/>
    </row>
    <row r="41" spans="1:13" x14ac:dyDescent="0.25">
      <c r="A41" s="22"/>
      <c r="B41" s="22">
        <v>46049</v>
      </c>
      <c r="C41" s="20" t="s">
        <v>253</v>
      </c>
      <c r="E41" s="12" t="str">
        <f>IF(C41&gt;0,LOOKUP(C41,'Lista de Escolas'!$C$3:$C$174,'Lista de Escolas'!$E$3:$E$174),"")</f>
        <v>Escolas Rainha Santa Isabel</v>
      </c>
      <c r="F41" s="12"/>
      <c r="G41" s="12"/>
      <c r="H41" s="12">
        <v>1</v>
      </c>
      <c r="I41" s="12"/>
      <c r="J41" s="23"/>
      <c r="K41" s="21" t="s">
        <v>587</v>
      </c>
      <c r="L41" s="23"/>
      <c r="M41" s="92"/>
    </row>
    <row r="42" spans="1:13" x14ac:dyDescent="0.25">
      <c r="A42" s="22"/>
      <c r="E42" s="12" t="str">
        <f>IF(C42&gt;0,LOOKUP(C42,'Lista de Escolas'!$C$3:$C$174,'Lista de Escolas'!$E$3:$E$174),"")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2"/>
      <c r="E43" s="12" t="str">
        <f>IF(C43&gt;0,LOOKUP(C43,'Lista de Escolas'!$C$3:$C$174,'Lista de Escolas'!$E$3:$E$174),"")</f>
        <v/>
      </c>
      <c r="F43" s="12"/>
      <c r="G43" s="12"/>
      <c r="H43" s="12"/>
      <c r="I43" s="12"/>
      <c r="J43" s="20"/>
      <c r="K43" s="21"/>
      <c r="L43" s="23"/>
      <c r="M43" s="92"/>
    </row>
    <row r="44" spans="1:13" x14ac:dyDescent="0.25">
      <c r="A44" s="22"/>
      <c r="B44" s="22"/>
      <c r="C44" s="23"/>
      <c r="D44" s="23"/>
      <c r="E44" s="12" t="str">
        <f>IF(C44&gt;0,LOOKUP(C44,'Lista de Escolas'!$C$3:$C$174,'Lista de Escolas'!$E$3:$E$174),"")</f>
        <v/>
      </c>
      <c r="F44" s="12"/>
      <c r="G44" s="12"/>
      <c r="H44" s="12"/>
      <c r="I44" s="12"/>
      <c r="J44" s="23"/>
      <c r="K44" s="24"/>
      <c r="L44" s="23"/>
      <c r="M44" s="92"/>
    </row>
    <row r="45" spans="1:13" x14ac:dyDescent="0.25">
      <c r="A45" s="22"/>
      <c r="B45" s="22"/>
      <c r="C45" s="20"/>
      <c r="D45" s="20"/>
      <c r="E45" s="12" t="str">
        <f>IF(C45&gt;0,LOOKUP(C45,'Lista de Escolas'!$C$3:$C$174,'Lista de Escolas'!$E$3:$E$174),"")</f>
        <v/>
      </c>
      <c r="F45" s="12"/>
      <c r="G45" s="12"/>
      <c r="H45" s="12"/>
      <c r="I45" s="12"/>
      <c r="J45" s="20"/>
      <c r="K45" s="21"/>
      <c r="L45" s="23"/>
      <c r="M45" s="92"/>
    </row>
    <row r="46" spans="1:13" x14ac:dyDescent="0.25">
      <c r="A46" s="22"/>
      <c r="B46" s="22"/>
      <c r="C46" s="23"/>
      <c r="D46" s="23"/>
      <c r="E46" s="12" t="str">
        <f>IF(C46&gt;0,LOOKUP(C46,'Lista de Escolas'!$C$3:$C$174,'Lista de Escolas'!$E$3:$E$174),"")</f>
        <v/>
      </c>
      <c r="F46" s="12"/>
      <c r="G46" s="12"/>
      <c r="H46" s="12"/>
      <c r="I46" s="12"/>
      <c r="J46" s="23"/>
      <c r="K46" s="24"/>
      <c r="L46" s="23"/>
      <c r="M46" s="92"/>
    </row>
    <row r="47" spans="1:13" x14ac:dyDescent="0.25">
      <c r="A47" s="23"/>
      <c r="B47" s="22"/>
      <c r="C47" s="20"/>
      <c r="D47" s="20"/>
      <c r="E47" s="12" t="str">
        <f>IF(C47&gt;0,LOOKUP(C47,'Lista de Escolas'!$C$3:$C$174,'Lista de Escolas'!$E$3:$E$174),"")</f>
        <v/>
      </c>
      <c r="F47" s="12"/>
      <c r="G47" s="12"/>
      <c r="H47" s="12"/>
      <c r="I47" s="12"/>
      <c r="J47" s="20"/>
      <c r="K47" s="21"/>
      <c r="L47" s="20"/>
      <c r="M47" s="92"/>
    </row>
    <row r="48" spans="1:13" x14ac:dyDescent="0.25">
      <c r="A48" s="22"/>
      <c r="B48" s="22"/>
      <c r="C48" s="20"/>
      <c r="D48" s="20"/>
      <c r="E48" s="12" t="str">
        <f>IF(C48&gt;0,LOOKUP(C48,'Lista de Escolas'!$C$3:$C$174,'Lista de Escolas'!$E$3:$E$174),"")</f>
        <v/>
      </c>
      <c r="F48" s="12"/>
      <c r="G48" s="12"/>
      <c r="H48" s="12"/>
      <c r="I48" s="12"/>
      <c r="J48" s="20"/>
      <c r="K48" s="21"/>
      <c r="L48" s="20"/>
      <c r="M48" s="92"/>
    </row>
    <row r="49" spans="1:13" x14ac:dyDescent="0.25">
      <c r="A49" s="22"/>
      <c r="B49" s="22"/>
      <c r="C49" s="20"/>
      <c r="D49" s="20"/>
      <c r="E49" s="12" t="str">
        <f>IF(C49&gt;0,LOOKUP(C49,'Lista de Escolas'!$C$3:$C$174,'Lista de Escolas'!$E$3:$E$174),"")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3"/>
      <c r="B50" s="22"/>
      <c r="C50" s="23"/>
      <c r="D50" s="20"/>
      <c r="E50" s="12" t="str">
        <f>IF(C50&gt;0,LOOKUP(C50,'Lista de Escolas'!$C$3:$C$174,'Lista de Escolas'!$E$3:$E$174),"")</f>
        <v/>
      </c>
      <c r="F50" s="12"/>
      <c r="G50" s="12"/>
      <c r="H50" s="12"/>
      <c r="I50" s="12"/>
      <c r="J50" s="23"/>
      <c r="K50" s="24"/>
      <c r="L50" s="23"/>
      <c r="M50" s="92"/>
    </row>
    <row r="51" spans="1:13" x14ac:dyDescent="0.25">
      <c r="A51" s="23"/>
      <c r="B51" s="22"/>
      <c r="C51" s="20"/>
      <c r="D51" s="20"/>
      <c r="E51" s="12" t="str">
        <f>IF(C51&gt;0,LOOKUP(C51,'Lista de Escolas'!$C$3:$C$174,'Lista de Escolas'!$E$3:$E$174),"")</f>
        <v/>
      </c>
      <c r="F51" s="12"/>
      <c r="G51" s="12"/>
      <c r="H51" s="12"/>
      <c r="I51" s="12"/>
      <c r="J51" s="20"/>
      <c r="K51" s="21"/>
      <c r="L51" s="20"/>
      <c r="M51" s="92"/>
    </row>
    <row r="52" spans="1:13" x14ac:dyDescent="0.25">
      <c r="A52" s="22"/>
      <c r="B52" s="22"/>
      <c r="C52" s="20"/>
      <c r="D52" s="20"/>
      <c r="E52" s="12" t="str">
        <f>IF(C52&gt;0,LOOKUP(C52,'Lista de Escolas'!$C$3:$C$174,'Lista de Escolas'!$E$3:$E$174),"")</f>
        <v/>
      </c>
      <c r="F52" s="12"/>
      <c r="G52" s="12"/>
      <c r="H52" s="12"/>
      <c r="I52" s="12"/>
      <c r="J52" s="20"/>
      <c r="K52" s="21"/>
      <c r="L52" s="20"/>
      <c r="M52" s="92"/>
    </row>
    <row r="53" spans="1:13" x14ac:dyDescent="0.25">
      <c r="A53" s="22"/>
      <c r="B53" s="22"/>
      <c r="C53" s="20"/>
      <c r="D53" s="20"/>
      <c r="E53" s="12" t="str">
        <f>IF(C53&gt;0,LOOKUP(C53,'Lista de Escolas'!$C$3:$C$174,'Lista de Escolas'!$E$3:$E$174),"")</f>
        <v/>
      </c>
      <c r="F53" s="12"/>
      <c r="G53" s="12"/>
      <c r="H53" s="12"/>
      <c r="I53" s="12"/>
      <c r="J53" s="20"/>
      <c r="K53" s="21"/>
      <c r="L53" s="20"/>
      <c r="M53" s="92"/>
    </row>
    <row r="54" spans="1:13" x14ac:dyDescent="0.25">
      <c r="A54" s="22"/>
      <c r="B54" s="22"/>
      <c r="C54" s="20"/>
      <c r="D54" s="20"/>
      <c r="E54" s="12" t="str">
        <f>IF(C54&gt;0,LOOKUP(C54,'Lista de Escolas'!$C$3:$C$174,'Lista de Escolas'!$E$3:$E$174),"")</f>
        <v/>
      </c>
      <c r="F54" s="12"/>
      <c r="G54" s="12"/>
      <c r="H54" s="12"/>
      <c r="I54" s="12"/>
      <c r="J54" s="20"/>
      <c r="K54" s="21"/>
      <c r="L54" s="23"/>
      <c r="M54" s="92"/>
    </row>
    <row r="55" spans="1:13" x14ac:dyDescent="0.25">
      <c r="C55" s="20"/>
      <c r="D55" s="20"/>
      <c r="E55" s="12" t="str">
        <f>IF(C55&gt;0,LOOKUP(C55,'Lista de Escolas'!$C$3:$C$174,'Lista de Escolas'!$E$3:$E$174),"")</f>
        <v/>
      </c>
      <c r="F55" s="12"/>
      <c r="G55" s="12"/>
      <c r="H55" s="12"/>
      <c r="I55" s="12"/>
      <c r="J55" s="20"/>
      <c r="K55" s="21"/>
      <c r="L55" s="20"/>
      <c r="M55" s="92"/>
    </row>
    <row r="56" spans="1:13" x14ac:dyDescent="0.25">
      <c r="E56" s="12" t="str">
        <f>IF(C56&gt;0,LOOKUP(C56,'Lista de Escolas'!$C$3:$C$174,'Lista de Escolas'!$E$3:$E$174),"")</f>
        <v/>
      </c>
      <c r="F56" s="12"/>
      <c r="G56" s="12"/>
      <c r="H56" s="12"/>
      <c r="I56" s="12"/>
    </row>
    <row r="57" spans="1:13" x14ac:dyDescent="0.25">
      <c r="E57" s="12" t="str">
        <f>IF(C57&gt;0,LOOKUP(C57,'Lista de Escolas'!$C$3:$C$174,'Lista de Escolas'!$E$3:$E$174),"")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Escolas'!$C$3:$C$174,'Lista de Escolas'!$E$3:$E$174),"")</f>
        <v/>
      </c>
      <c r="F58" s="12"/>
      <c r="G58" s="12"/>
      <c r="H58" s="12"/>
      <c r="I58" s="12"/>
    </row>
    <row r="59" spans="1:13" x14ac:dyDescent="0.25">
      <c r="E59" s="12" t="str">
        <f>IF(C59&gt;0,LOOKUP(C59,'Lista de Escolas'!$C$3:$C$174,'Lista de Escolas'!$E$3:$E$174),"")</f>
        <v/>
      </c>
      <c r="F59" s="12"/>
      <c r="G59" s="12"/>
      <c r="H59" s="12"/>
      <c r="I59" s="12"/>
    </row>
    <row r="60" spans="1:13" x14ac:dyDescent="0.25">
      <c r="E60" s="12" t="str">
        <f>IF(C60&gt;0,LOOKUP(C60,'Lista de Escolas'!$C$3:$C$174,'Lista de Escolas'!$E$3:$E$174),"")</f>
        <v/>
      </c>
      <c r="F60" s="12"/>
      <c r="G60" s="12"/>
      <c r="H60" s="12"/>
      <c r="I60" s="12"/>
    </row>
    <row r="61" spans="1:13" x14ac:dyDescent="0.25">
      <c r="E61" s="12" t="str">
        <f>IF(C61&gt;0,LOOKUP(C61,'Lista de Escolas'!$C$3:$C$174,'Lista de Escolas'!$E$3:$E$174),"")</f>
        <v/>
      </c>
      <c r="F61" s="12"/>
      <c r="G61" s="12"/>
      <c r="H61" s="12"/>
      <c r="I61" s="12"/>
    </row>
    <row r="62" spans="1:13" x14ac:dyDescent="0.25">
      <c r="E62" s="12" t="str">
        <f>IF(C62&gt;0,LOOKUP(C62,'Lista de Escolas'!$C$3:$C$174,'Lista de Escolas'!$E$3:$E$174),"")</f>
        <v/>
      </c>
      <c r="F62" s="12"/>
      <c r="G62" s="12"/>
      <c r="H62" s="12"/>
      <c r="I62" s="12"/>
    </row>
    <row r="63" spans="1:13" x14ac:dyDescent="0.25">
      <c r="E63" s="12" t="str">
        <f>IF(C63&gt;0,LOOKUP(C63,'Lista de Escolas'!$C$3:$C$174,'Lista de Escolas'!$E$3:$E$174),"")</f>
        <v/>
      </c>
      <c r="F63" s="12" t="s">
        <v>605</v>
      </c>
      <c r="G63" s="12" t="s">
        <v>606</v>
      </c>
      <c r="H63" s="12" t="s">
        <v>607</v>
      </c>
      <c r="I63" s="12" t="s">
        <v>608</v>
      </c>
      <c r="J63" s="1" t="s">
        <v>609</v>
      </c>
    </row>
    <row r="64" spans="1:13" x14ac:dyDescent="0.25">
      <c r="B64" s="12" t="s">
        <v>31</v>
      </c>
      <c r="C64" s="7" t="s">
        <v>32</v>
      </c>
      <c r="E64" s="1">
        <f>COUNTIFS(E5:E54,"=Escolas Rainha Santa Isabel")</f>
        <v>15</v>
      </c>
      <c r="F64" s="1">
        <f>SUM(F5:F41)</f>
        <v>22</v>
      </c>
      <c r="G64" s="1">
        <f>SUM(G5:G41)</f>
        <v>13</v>
      </c>
      <c r="H64" s="1">
        <f t="shared" ref="H64:J64" si="0">SUM(H5:H41)</f>
        <v>13</v>
      </c>
      <c r="I64" s="1">
        <f t="shared" si="0"/>
        <v>5</v>
      </c>
      <c r="J64" s="1">
        <f t="shared" si="0"/>
        <v>3</v>
      </c>
    </row>
    <row r="65" spans="2:5" x14ac:dyDescent="0.25">
      <c r="B65" s="12">
        <f>COUNT(B5:B63)</f>
        <v>37</v>
      </c>
      <c r="C65" s="7" t="s">
        <v>33</v>
      </c>
      <c r="E65" s="1">
        <f>COUNTIFS(E5:E54,"=Escolas Dr. Correia Mateus")</f>
        <v>11</v>
      </c>
    </row>
    <row r="66" spans="2:5" x14ac:dyDescent="0.25">
      <c r="C66" s="7" t="s">
        <v>34</v>
      </c>
      <c r="E66" s="1">
        <f>COUNTIFS(E5:E54,"=Escolas da Caranguejeira - Santa Catarina da Serra")</f>
        <v>0</v>
      </c>
    </row>
    <row r="67" spans="2:5" x14ac:dyDescent="0.25">
      <c r="C67" s="7" t="s">
        <v>35</v>
      </c>
      <c r="E67" s="1">
        <f>COUNTIFS(E5:E54,"=Escolas de Colmeias")</f>
        <v>0</v>
      </c>
    </row>
    <row r="68" spans="2:5" x14ac:dyDescent="0.25">
      <c r="C68" s="7" t="s">
        <v>36</v>
      </c>
      <c r="E68" s="1">
        <f>COUNTIFS(E5:E54,"=Escolas de Marrazes")</f>
        <v>0</v>
      </c>
    </row>
    <row r="69" spans="2:5" x14ac:dyDescent="0.25">
      <c r="C69" s="7" t="s">
        <v>37</v>
      </c>
      <c r="E69" s="1">
        <f>COUNTIFS(E5:E54,"=Escolas Domingos Sequeira")</f>
        <v>6</v>
      </c>
    </row>
    <row r="70" spans="2:5" x14ac:dyDescent="0.25">
      <c r="C70" s="7" t="s">
        <v>38</v>
      </c>
      <c r="E70" s="1">
        <f>COUNTIFS(E5:E54,"=Escolas D. Dinis")</f>
        <v>0</v>
      </c>
    </row>
    <row r="71" spans="2:5" x14ac:dyDescent="0.25">
      <c r="C71" s="7" t="s">
        <v>39</v>
      </c>
      <c r="E71" s="1">
        <f>COUNTIFS(E5:E55,"=Henrique Sommer")</f>
        <v>3</v>
      </c>
    </row>
    <row r="72" spans="2:5" x14ac:dyDescent="0.25">
      <c r="C72" s="141" t="s">
        <v>40</v>
      </c>
      <c r="E72" s="1">
        <f>SUM(E64:E71)</f>
        <v>35</v>
      </c>
    </row>
  </sheetData>
  <customSheetViews>
    <customSheetView guid="{7E850ADC-7020-4CE4-9656-1D37A8554340}" hiddenColumns="1" topLeftCell="A13">
      <selection activeCell="E67" sqref="E67"/>
      <pageMargins left="0" right="0" top="0" bottom="0" header="0" footer="0"/>
      <pageSetup paperSize="9" orientation="landscape" horizontalDpi="1200" verticalDpi="1200"/>
    </customSheetView>
    <customSheetView guid="{6C6D19B4-0AAB-4D39-9585-2246A62E9472}" hiddenColumns="1" topLeftCell="A13">
      <selection activeCell="E67" sqref="E67"/>
      <pageMargins left="0" right="0" top="0" bottom="0" header="0" footer="0"/>
      <pageSetup paperSize="9" orientation="landscape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"/>
  <sheetViews>
    <sheetView workbookViewId="0">
      <selection activeCell="B16" sqref="B16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2.425781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14.28515625" style="1" bestFit="1" customWidth="1"/>
    <col min="11" max="11" width="101.8554687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41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"/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8" customHeight="1" x14ac:dyDescent="0.2">
      <c r="A5" s="11"/>
      <c r="B5" s="25">
        <v>46071</v>
      </c>
      <c r="C5" s="12" t="s">
        <v>86</v>
      </c>
      <c r="D5" s="12"/>
      <c r="E5" s="12" t="str">
        <f>IF(C5&gt;0,LOOKUP(C5,'Lista de Escolas'!$C$3:$C$178,'Lista de Escolas'!$E$3:$E$178),"")</f>
        <v>Escolas Rainha Santa Isabel</v>
      </c>
      <c r="F5" s="12">
        <v>1</v>
      </c>
      <c r="G5" s="12"/>
      <c r="H5" s="12"/>
      <c r="I5" s="12"/>
      <c r="J5" s="12"/>
      <c r="K5" s="90" t="s">
        <v>588</v>
      </c>
      <c r="L5" s="12" t="s">
        <v>64</v>
      </c>
    </row>
    <row r="6" spans="1:13" s="4" customFormat="1" ht="18" customHeight="1" x14ac:dyDescent="0.2">
      <c r="A6" s="11"/>
      <c r="B6" s="25">
        <v>46073</v>
      </c>
      <c r="C6" s="12" t="s">
        <v>119</v>
      </c>
      <c r="D6" s="3"/>
      <c r="E6" s="12" t="str">
        <f>IF(C6&gt;0,LOOKUP(C6,'Lista de Escolas'!$C$3:$C$178,'Lista de Escolas'!$E$3:$E$178),"")</f>
        <v>Escolas Domingos Sequeira</v>
      </c>
      <c r="F6" s="12">
        <v>1</v>
      </c>
      <c r="G6" s="12"/>
      <c r="H6" s="12"/>
      <c r="I6" s="12"/>
      <c r="J6" s="12"/>
      <c r="K6" s="90" t="s">
        <v>589</v>
      </c>
      <c r="L6" s="3" t="s">
        <v>64</v>
      </c>
    </row>
    <row r="7" spans="1:13" s="4" customFormat="1" ht="18" customHeight="1" x14ac:dyDescent="0.2">
      <c r="A7" s="11"/>
      <c r="B7" s="25">
        <v>46076</v>
      </c>
      <c r="C7" s="3" t="s">
        <v>135</v>
      </c>
      <c r="D7" s="3"/>
      <c r="E7" s="12" t="str">
        <f>IF(C7&gt;0,LOOKUP(C7,'Lista de Escolas'!$C$3:$C$178,'Lista de Escolas'!$E$3:$E$178),"")</f>
        <v>Escolas Rainha Santa Isabel</v>
      </c>
      <c r="F7" s="12">
        <v>1</v>
      </c>
      <c r="G7" s="12">
        <v>1</v>
      </c>
      <c r="H7" s="12"/>
      <c r="I7" s="12"/>
      <c r="J7" s="12"/>
      <c r="K7" s="90" t="s">
        <v>592</v>
      </c>
      <c r="L7" s="3"/>
    </row>
    <row r="8" spans="1:13" s="4" customFormat="1" ht="18" customHeight="1" x14ac:dyDescent="0.2">
      <c r="A8" s="11"/>
      <c r="B8" s="25">
        <v>46076</v>
      </c>
      <c r="C8" s="12" t="s">
        <v>11</v>
      </c>
      <c r="D8" s="12"/>
      <c r="E8" s="12" t="str">
        <f>IF(C8&gt;0,LOOKUP(C8,'Lista de Escolas'!$C$3:$C$178,'Lista de Escolas'!$E$3:$E$178),"")</f>
        <v>Escolas D. Dinis</v>
      </c>
      <c r="F8" s="12">
        <v>1</v>
      </c>
      <c r="G8" s="12"/>
      <c r="H8" s="12"/>
      <c r="I8" s="12"/>
      <c r="J8" s="12"/>
      <c r="K8" s="90" t="s">
        <v>593</v>
      </c>
      <c r="L8" s="12"/>
    </row>
    <row r="9" spans="1:13" s="4" customFormat="1" ht="18" customHeight="1" x14ac:dyDescent="0.2">
      <c r="A9" s="11"/>
      <c r="B9" s="25">
        <v>46079</v>
      </c>
      <c r="C9" s="12" t="s">
        <v>127</v>
      </c>
      <c r="D9" s="12"/>
      <c r="E9" s="12" t="str">
        <f>IF(C9&gt;0,LOOKUP(C9,'Lista de Escolas'!$C$3:$C$178,'Lista de Escolas'!$E$3:$E$178),"")</f>
        <v>Escolas Rainha Santa Isabel</v>
      </c>
      <c r="F9" s="12"/>
      <c r="G9" s="12"/>
      <c r="H9" s="12">
        <v>1</v>
      </c>
      <c r="I9" s="12"/>
      <c r="J9" s="12"/>
      <c r="K9" s="90" t="s">
        <v>601</v>
      </c>
      <c r="L9" s="3"/>
    </row>
    <row r="10" spans="1:13" s="4" customFormat="1" ht="18" customHeight="1" x14ac:dyDescent="0.2">
      <c r="A10" s="11"/>
      <c r="B10" s="25">
        <v>46079</v>
      </c>
      <c r="C10" s="12" t="s">
        <v>119</v>
      </c>
      <c r="D10" s="3"/>
      <c r="E10" s="12" t="str">
        <f>IF(C10&gt;0,LOOKUP(C10,'Lista de Escolas'!$C$3:$C$178,'Lista de Escolas'!$E$3:$E$178),"")</f>
        <v>Escolas Domingos Sequeira</v>
      </c>
      <c r="F10" s="12"/>
      <c r="G10" s="12"/>
      <c r="H10" s="12">
        <v>1</v>
      </c>
      <c r="I10" s="12"/>
      <c r="J10" s="12"/>
      <c r="K10" s="90" t="s">
        <v>602</v>
      </c>
      <c r="L10" s="12"/>
    </row>
    <row r="11" spans="1:13" s="4" customFormat="1" ht="18" customHeight="1" x14ac:dyDescent="0.2">
      <c r="A11" s="11"/>
      <c r="B11" s="25">
        <v>46080</v>
      </c>
      <c r="C11" s="108" t="s">
        <v>135</v>
      </c>
      <c r="D11" s="12"/>
      <c r="E11" s="12" t="str">
        <f>IF(C11&gt;0,LOOKUP(C11,'Lista de Escolas'!$C$3:$C$178,'Lista de Escolas'!$E$3:$E$178),"")</f>
        <v>Escolas Rainha Santa Isabel</v>
      </c>
      <c r="F11" s="12"/>
      <c r="G11" s="12">
        <v>1</v>
      </c>
      <c r="H11" s="12"/>
      <c r="I11" s="12"/>
      <c r="J11" s="12"/>
      <c r="K11" s="90" t="s">
        <v>611</v>
      </c>
      <c r="L11" s="12"/>
    </row>
    <row r="12" spans="1:13" s="4" customFormat="1" ht="18" customHeight="1" x14ac:dyDescent="0.2">
      <c r="A12" s="11"/>
      <c r="B12" s="25">
        <v>46080</v>
      </c>
      <c r="C12" s="108" t="s">
        <v>125</v>
      </c>
      <c r="D12" s="12"/>
      <c r="E12" s="12" t="str">
        <f>IF(C12&gt;0,LOOKUP(C12,'Lista de Escolas'!$C$3:$C$178,'Lista de Escolas'!$E$3:$E$178),"")</f>
        <v>Escolas Domingos Sequeira</v>
      </c>
      <c r="F12" s="12">
        <v>1</v>
      </c>
      <c r="G12" s="12">
        <v>1</v>
      </c>
      <c r="H12" s="12"/>
      <c r="I12" s="12">
        <v>1</v>
      </c>
      <c r="J12" s="12"/>
      <c r="K12" s="90" t="s">
        <v>612</v>
      </c>
      <c r="L12" s="12"/>
    </row>
    <row r="13" spans="1:13" s="4" customFormat="1" ht="18" customHeight="1" x14ac:dyDescent="0.2">
      <c r="A13" s="11"/>
      <c r="B13" s="25">
        <v>46080</v>
      </c>
      <c r="C13" s="108" t="s">
        <v>613</v>
      </c>
      <c r="D13" s="12"/>
      <c r="E13" s="12" t="str">
        <f>IF(C13&gt;0,LOOKUP(C13,'Lista de Escolas'!$C$3:$C$178,'Lista de Escolas'!$E$3:$E$178),"")</f>
        <v>Escolas Rainha Santa Isabel</v>
      </c>
      <c r="F13" s="12">
        <v>1</v>
      </c>
      <c r="G13" s="12"/>
      <c r="H13" s="12"/>
      <c r="I13" s="12"/>
      <c r="J13" s="12"/>
      <c r="K13" s="90" t="s">
        <v>614</v>
      </c>
      <c r="L13" s="12"/>
    </row>
    <row r="14" spans="1:13" s="4" customFormat="1" ht="18" customHeight="1" x14ac:dyDescent="0.2">
      <c r="A14" s="22"/>
      <c r="B14" s="25">
        <v>46080</v>
      </c>
      <c r="C14" s="3" t="s">
        <v>81</v>
      </c>
      <c r="D14" s="3"/>
      <c r="E14" s="12" t="str">
        <f>IF(C14&gt;0,LOOKUP(C14,'Lista de Escolas'!$C$3:$C$178,'Lista de Escolas'!$E$3:$E$178),"")</f>
        <v>Escolas Rainha Santa Isabel</v>
      </c>
      <c r="F14" s="12">
        <v>1</v>
      </c>
      <c r="G14" s="12"/>
      <c r="H14" s="12"/>
      <c r="I14" s="12"/>
      <c r="J14" s="12"/>
      <c r="K14" s="90" t="s">
        <v>615</v>
      </c>
      <c r="L14" s="12"/>
    </row>
    <row r="15" spans="1:13" ht="18" customHeight="1" x14ac:dyDescent="0.25">
      <c r="A15" s="22"/>
      <c r="B15" s="25">
        <v>46080</v>
      </c>
      <c r="C15" s="12" t="s">
        <v>59</v>
      </c>
      <c r="D15" s="3"/>
      <c r="E15" s="12" t="str">
        <f>IF(C15&gt;0,LOOKUP(C15,'Lista de Escolas'!$C$3:$C$178,'Lista de Escolas'!$E$3:$E$178),"")</f>
        <v>Escolas Domingos Sequeira</v>
      </c>
      <c r="F15" s="12">
        <v>1</v>
      </c>
      <c r="G15" s="12"/>
      <c r="H15" s="12"/>
      <c r="I15" s="12"/>
      <c r="J15" s="3"/>
      <c r="K15" s="90" t="s">
        <v>616</v>
      </c>
      <c r="L15" s="3"/>
      <c r="M15" s="3"/>
    </row>
    <row r="16" spans="1:13" ht="18" customHeight="1" x14ac:dyDescent="0.25">
      <c r="A16" s="22"/>
      <c r="B16" s="25"/>
      <c r="C16" s="2"/>
      <c r="D16" s="3"/>
      <c r="E16" s="12" t="str">
        <f>IF(C16&gt;0,LOOKUP(C16,'Lista de Escolas'!$C$3:$C$178,'Lista de Escolas'!$E$3:$E$178),"")</f>
        <v/>
      </c>
      <c r="F16" s="12"/>
      <c r="G16" s="12"/>
      <c r="H16" s="12"/>
      <c r="I16" s="12"/>
      <c r="J16" s="3"/>
      <c r="K16" s="90"/>
      <c r="L16" s="3"/>
    </row>
    <row r="17" spans="1:12" s="13" customFormat="1" ht="18" customHeight="1" x14ac:dyDescent="0.2">
      <c r="A17" s="22"/>
      <c r="B17" s="25"/>
      <c r="C17" s="3"/>
      <c r="D17" s="3"/>
      <c r="E17" s="12" t="str">
        <f>IF(C17&gt;0,LOOKUP(C17,'Lista de Escolas'!$C$3:$C$178,'Lista de Escolas'!$E$3:$E$178),"")</f>
        <v/>
      </c>
      <c r="F17" s="12"/>
      <c r="G17" s="12"/>
      <c r="H17" s="12"/>
      <c r="I17" s="12"/>
      <c r="J17" s="12"/>
      <c r="K17" s="90"/>
      <c r="L17" s="12"/>
    </row>
    <row r="18" spans="1:12" ht="18" customHeight="1" x14ac:dyDescent="0.25">
      <c r="A18" s="22"/>
      <c r="B18" s="25"/>
      <c r="C18" s="12"/>
      <c r="D18" s="12"/>
      <c r="E18" s="12" t="str">
        <f>IF(C18&gt;0,LOOKUP(C18,'Lista de Escolas'!$C$3:$C$178,'Lista de Escolas'!$E$3:$E$178),"")</f>
        <v/>
      </c>
      <c r="F18" s="12"/>
      <c r="G18" s="12"/>
      <c r="H18" s="12"/>
      <c r="I18" s="12"/>
      <c r="J18" s="3"/>
      <c r="K18" s="90"/>
      <c r="L18" s="3"/>
    </row>
    <row r="19" spans="1:12" ht="18" customHeight="1" x14ac:dyDescent="0.25">
      <c r="A19" s="22"/>
      <c r="B19" s="25"/>
      <c r="C19" s="3"/>
      <c r="D19" s="3"/>
      <c r="E19" s="12" t="str">
        <f>IF(C19&gt;0,LOOKUP(C19,'Lista de Escolas'!$C$3:$C$178,'Lista de Escolas'!$E$3:$E$178),"")</f>
        <v/>
      </c>
      <c r="F19" s="12"/>
      <c r="G19" s="12"/>
      <c r="H19" s="12"/>
      <c r="I19" s="12"/>
      <c r="J19" s="3"/>
      <c r="K19" s="90"/>
      <c r="L19" s="3"/>
    </row>
    <row r="20" spans="1:12" ht="18" customHeight="1" x14ac:dyDescent="0.25">
      <c r="A20" s="22"/>
      <c r="B20" s="25"/>
      <c r="C20" s="3"/>
      <c r="D20" s="3"/>
      <c r="E20" s="12" t="str">
        <f>IF(C20&gt;0,LOOKUP(C20,'Lista de Escolas'!$C$3:$C$178,'Lista de Escolas'!$E$3:$E$178),"")</f>
        <v/>
      </c>
      <c r="F20" s="12"/>
      <c r="G20" s="12"/>
      <c r="H20" s="12"/>
      <c r="I20" s="12"/>
      <c r="J20" s="3"/>
      <c r="K20" s="90"/>
      <c r="L20" s="3"/>
    </row>
    <row r="21" spans="1:12" ht="18" customHeight="1" x14ac:dyDescent="0.25">
      <c r="A21" s="22"/>
      <c r="B21" s="25"/>
      <c r="C21" s="12"/>
      <c r="D21" s="12"/>
      <c r="E21" s="12" t="str">
        <f>IF(C21&gt;0,LOOKUP(C21,'Lista de Escolas'!$C$3:$C$178,'Lista de Escolas'!$E$3:$E$178),"")</f>
        <v/>
      </c>
      <c r="F21" s="12"/>
      <c r="G21" s="12"/>
      <c r="H21" s="12"/>
      <c r="I21" s="12"/>
      <c r="J21" s="12"/>
      <c r="K21" s="90"/>
      <c r="L21" s="12"/>
    </row>
    <row r="22" spans="1:12" ht="18" customHeight="1" x14ac:dyDescent="0.25">
      <c r="A22" s="22"/>
      <c r="B22" s="25"/>
      <c r="C22" s="3"/>
      <c r="D22" s="3"/>
      <c r="E22" s="12" t="str">
        <f>IF(C22&gt;0,LOOKUP(C22,'Lista de Escolas'!$C$3:$C$178,'Lista de Escolas'!$E$3:$E$178),"")</f>
        <v/>
      </c>
      <c r="F22" s="12"/>
      <c r="G22" s="12"/>
      <c r="H22" s="12"/>
      <c r="I22" s="12"/>
      <c r="J22" s="3"/>
      <c r="K22" s="90"/>
      <c r="L22" s="3"/>
    </row>
    <row r="23" spans="1:12" ht="18" customHeight="1" x14ac:dyDescent="0.25">
      <c r="A23" s="22"/>
      <c r="B23" s="25"/>
      <c r="C23" s="3"/>
      <c r="D23" s="3"/>
      <c r="E23" s="12" t="str">
        <f>IF(C23&gt;0,LOOKUP(C23,'Lista de Escolas'!$C$3:$C$178,'Lista de Escolas'!$E$3:$E$178),"")</f>
        <v/>
      </c>
      <c r="F23" s="12"/>
      <c r="G23" s="12"/>
      <c r="H23" s="12"/>
      <c r="I23" s="12"/>
      <c r="J23" s="3"/>
      <c r="K23" s="90"/>
      <c r="L23" s="3"/>
    </row>
    <row r="24" spans="1:12" ht="18" customHeight="1" x14ac:dyDescent="0.25">
      <c r="A24" s="23"/>
      <c r="B24" s="25"/>
      <c r="C24" s="189"/>
      <c r="D24" s="3"/>
      <c r="E24" s="12" t="str">
        <f>IF(C24&gt;0,LOOKUP(C24,'Lista de Escolas'!$C$3:$C$178,'Lista de Escolas'!$E$3:$E$178),"")</f>
        <v/>
      </c>
      <c r="F24" s="12"/>
      <c r="G24" s="12"/>
      <c r="H24" s="12"/>
      <c r="I24" s="12"/>
      <c r="J24" s="3"/>
      <c r="K24" s="90"/>
      <c r="L24" s="3"/>
    </row>
    <row r="25" spans="1:12" ht="18" customHeight="1" x14ac:dyDescent="0.25">
      <c r="A25" s="23"/>
      <c r="B25" s="25"/>
      <c r="C25" s="3"/>
      <c r="D25" s="3"/>
      <c r="E25" s="12" t="str">
        <f>IF(C25&gt;0,LOOKUP(C25,'Lista de Escolas'!$C$3:$C$178,'Lista de Escolas'!$E$3:$E$178),"")</f>
        <v/>
      </c>
      <c r="F25" s="12"/>
      <c r="G25" s="12"/>
      <c r="H25" s="12"/>
      <c r="I25" s="12"/>
      <c r="J25" s="3"/>
      <c r="K25" s="90"/>
      <c r="L25" s="3"/>
    </row>
    <row r="26" spans="1:12" ht="18" customHeight="1" x14ac:dyDescent="0.25">
      <c r="A26" s="23"/>
      <c r="B26" s="25"/>
      <c r="C26" s="3"/>
      <c r="D26" s="3"/>
      <c r="E26" s="12" t="str">
        <f>IF(C26&gt;0,LOOKUP(C26,'Lista de Escolas'!$C$3:$C$178,'Lista de Escolas'!$E$3:$E$178),"")</f>
        <v/>
      </c>
      <c r="F26" s="12"/>
      <c r="G26" s="12"/>
      <c r="H26" s="12"/>
      <c r="I26" s="12"/>
      <c r="J26" s="3"/>
      <c r="K26" s="90"/>
      <c r="L26" s="3"/>
    </row>
    <row r="27" spans="1:12" ht="18" customHeight="1" x14ac:dyDescent="0.25">
      <c r="A27" s="23"/>
      <c r="B27" s="25"/>
      <c r="C27" s="3"/>
      <c r="D27" s="3"/>
      <c r="E27" s="12" t="str">
        <f>IF(C27&gt;0,LOOKUP(C27,'Lista de Escolas'!$C$3:$C$178,'Lista de Escolas'!$E$3:$E$178),"")</f>
        <v/>
      </c>
      <c r="F27" s="12"/>
      <c r="G27" s="12"/>
      <c r="H27" s="12"/>
      <c r="I27" s="12"/>
      <c r="J27" s="3"/>
      <c r="K27" s="90"/>
      <c r="L27" s="3"/>
    </row>
    <row r="28" spans="1:12" ht="18" customHeight="1" x14ac:dyDescent="0.25">
      <c r="A28" s="22"/>
      <c r="B28" s="25"/>
      <c r="C28" s="12"/>
      <c r="D28" s="12"/>
      <c r="E28" s="12" t="str">
        <f>IF(C28&gt;0,LOOKUP(C28,'Lista de Escolas'!$C$3:$C$178,'Lista de Escolas'!$E$3:$E$178),"")</f>
        <v/>
      </c>
      <c r="F28" s="12"/>
      <c r="G28" s="12"/>
      <c r="H28" s="12"/>
      <c r="I28" s="12"/>
      <c r="J28" s="12"/>
      <c r="K28" s="90"/>
      <c r="L28" s="12"/>
    </row>
    <row r="29" spans="1:12" ht="18" customHeight="1" x14ac:dyDescent="0.25">
      <c r="A29" s="22"/>
      <c r="B29" s="25"/>
      <c r="C29" s="12"/>
      <c r="D29" s="12"/>
      <c r="E29" s="12" t="str">
        <f>IF(C29&gt;0,LOOKUP(C29,'Lista de Escolas'!$C$3:$C$178,'Lista de Escolas'!$E$3:$E$178),"")</f>
        <v/>
      </c>
      <c r="F29" s="12"/>
      <c r="G29" s="12"/>
      <c r="H29" s="12"/>
      <c r="I29" s="12"/>
      <c r="J29" s="12"/>
      <c r="K29" s="90"/>
      <c r="L29" s="12"/>
    </row>
    <row r="30" spans="1:12" x14ac:dyDescent="0.25">
      <c r="A30" s="22"/>
      <c r="B30" s="25"/>
      <c r="C30" s="3"/>
      <c r="D30" s="3"/>
      <c r="E30" s="12" t="str">
        <f>IF(C30&gt;0,LOOKUP(C30,'Lista de Escolas'!$C$3:$C$178,'Lista de Escolas'!$E$3:$E$178),"")</f>
        <v/>
      </c>
      <c r="F30" s="12"/>
      <c r="G30" s="12"/>
      <c r="H30" s="12"/>
      <c r="I30" s="12"/>
      <c r="J30" s="3"/>
      <c r="K30" s="90"/>
      <c r="L30" s="3"/>
    </row>
    <row r="31" spans="1:12" x14ac:dyDescent="0.25">
      <c r="A31" s="22"/>
      <c r="B31" s="25"/>
      <c r="C31" s="12"/>
      <c r="D31" s="12"/>
      <c r="E31" s="12" t="str">
        <f>IF(C31&gt;0,LOOKUP(C31,'Lista de Escolas'!$C$3:$C$178,'Lista de Escolas'!$E$3:$E$178),"")</f>
        <v/>
      </c>
      <c r="F31" s="12"/>
      <c r="G31" s="12"/>
      <c r="H31" s="12"/>
      <c r="I31" s="12"/>
      <c r="J31" s="12"/>
      <c r="K31" s="90"/>
      <c r="L31" s="12"/>
    </row>
    <row r="32" spans="1:12" x14ac:dyDescent="0.25">
      <c r="A32" s="22"/>
      <c r="B32" s="25"/>
      <c r="C32" s="3"/>
      <c r="D32" s="3"/>
      <c r="E32" s="12" t="str">
        <f>IF(C32&gt;0,LOOKUP(C32,'Lista de Escolas'!$C$3:$C$178,'Lista de Escolas'!$E$3:$E$178),"")</f>
        <v/>
      </c>
      <c r="F32" s="12"/>
      <c r="G32" s="12"/>
      <c r="H32" s="12"/>
      <c r="I32" s="12"/>
      <c r="J32" s="3"/>
      <c r="K32" s="90"/>
      <c r="L32" s="3"/>
    </row>
    <row r="33" spans="1:13" x14ac:dyDescent="0.25">
      <c r="A33" s="22"/>
      <c r="B33" s="22"/>
      <c r="C33" s="12"/>
      <c r="D33" s="12"/>
      <c r="E33" s="12" t="str">
        <f>IF(C33&gt;0,LOOKUP(C33,'Lista de Escolas'!$C$3:$C$178,'Lista de Escolas'!$E$3:$E$178),"")</f>
        <v/>
      </c>
      <c r="F33" s="12"/>
      <c r="G33" s="12"/>
      <c r="H33" s="12"/>
      <c r="I33" s="12"/>
      <c r="J33" s="12"/>
      <c r="K33" s="90"/>
      <c r="L33" s="3"/>
    </row>
    <row r="34" spans="1:13" x14ac:dyDescent="0.25">
      <c r="A34" s="23"/>
      <c r="B34" s="94"/>
      <c r="C34" s="3"/>
      <c r="D34" s="3"/>
      <c r="E34" s="12" t="str">
        <f>IF(C34&gt;0,LOOKUP(C34,'Lista de Escolas'!$C$3:$C$178,'Lista de Escolas'!$E$3:$E$178),"")</f>
        <v/>
      </c>
      <c r="F34" s="12"/>
      <c r="G34" s="12"/>
      <c r="H34" s="12"/>
      <c r="I34" s="12"/>
      <c r="J34" s="3"/>
      <c r="K34" s="90"/>
      <c r="L34" s="3"/>
    </row>
    <row r="35" spans="1:13" x14ac:dyDescent="0.25">
      <c r="A35" s="23"/>
      <c r="B35" s="94"/>
      <c r="E35" s="12" t="str">
        <f>IF(C35&gt;0,LOOKUP(C35,'Lista de Escolas'!$C$3:$C$178,'Lista de Escolas'!$E$3:$E$178),"")</f>
        <v/>
      </c>
      <c r="F35" s="12"/>
      <c r="G35" s="12"/>
      <c r="H35" s="12"/>
      <c r="I35" s="12"/>
      <c r="K35" s="90"/>
    </row>
    <row r="36" spans="1:13" x14ac:dyDescent="0.25">
      <c r="A36" s="22"/>
      <c r="B36" s="22"/>
      <c r="C36" s="23"/>
      <c r="D36" s="23"/>
      <c r="E36" s="12" t="str">
        <f>IF(C36&gt;0,LOOKUP(C36,'Lista de Escolas'!$C$3:$C$178,'Lista de Escolas'!$E$3:$E$178),"")</f>
        <v/>
      </c>
      <c r="F36" s="12"/>
      <c r="G36" s="12"/>
      <c r="H36" s="12"/>
      <c r="I36" s="12"/>
      <c r="J36" s="23"/>
      <c r="K36" s="24"/>
      <c r="L36" s="23"/>
      <c r="M36" s="92"/>
    </row>
    <row r="37" spans="1:13" x14ac:dyDescent="0.25">
      <c r="A37" s="23"/>
      <c r="B37" s="22"/>
      <c r="C37" s="20"/>
      <c r="D37" s="20"/>
      <c r="E37" s="12" t="str">
        <f>IF(C37&gt;0,LOOKUP(C37,'Lista de Escolas'!$C$3:$C$178,'Lista de Escolas'!$E$3:$E$178),"")</f>
        <v/>
      </c>
      <c r="F37" s="12"/>
      <c r="G37" s="12"/>
      <c r="H37" s="12"/>
      <c r="I37" s="12"/>
      <c r="J37" s="20"/>
      <c r="K37" s="21"/>
      <c r="L37" s="20"/>
      <c r="M37" s="92"/>
    </row>
    <row r="38" spans="1:13" x14ac:dyDescent="0.25">
      <c r="A38" s="22"/>
      <c r="B38" s="22"/>
      <c r="C38" s="20"/>
      <c r="D38" s="20"/>
      <c r="E38" s="12" t="str">
        <f>IF(C38&gt;0,LOOKUP(C38,'Lista de Escolas'!$C$3:$C$178,'Lista de Escolas'!$E$3:$E$178),"")</f>
        <v/>
      </c>
      <c r="F38" s="12"/>
      <c r="G38" s="12"/>
      <c r="H38" s="12"/>
      <c r="I38" s="12"/>
      <c r="J38" s="20"/>
      <c r="K38" s="21"/>
      <c r="L38" s="23"/>
      <c r="M38" s="92"/>
    </row>
    <row r="39" spans="1:13" x14ac:dyDescent="0.25">
      <c r="A39" s="22"/>
      <c r="B39" s="22"/>
      <c r="C39" s="23"/>
      <c r="D39" s="23"/>
      <c r="E39" s="12" t="str">
        <f>IF(C39&gt;0,LOOKUP(C39,'Lista de Escolas'!$C$3:$C$178,'Lista de Escolas'!$E$3:$E$178),"")</f>
        <v/>
      </c>
      <c r="F39" s="12"/>
      <c r="G39" s="12"/>
      <c r="H39" s="12"/>
      <c r="I39" s="12"/>
      <c r="J39" s="23"/>
      <c r="K39" s="24"/>
      <c r="L39" s="23"/>
      <c r="M39" s="92"/>
    </row>
    <row r="40" spans="1:13" x14ac:dyDescent="0.25">
      <c r="A40" s="23"/>
      <c r="B40" s="22"/>
      <c r="C40" s="23"/>
      <c r="D40" s="23"/>
      <c r="E40" s="12" t="str">
        <f>IF(C40&gt;0,LOOKUP(C40,'Lista de Escolas'!$C$3:$C$178,'Lista de Escolas'!$E$3:$E$178),"")</f>
        <v/>
      </c>
      <c r="F40" s="12"/>
      <c r="G40" s="12"/>
      <c r="H40" s="12"/>
      <c r="I40" s="12"/>
      <c r="J40" s="23"/>
      <c r="K40" s="24"/>
      <c r="L40" s="23"/>
      <c r="M40" s="92"/>
    </row>
    <row r="41" spans="1:13" x14ac:dyDescent="0.25">
      <c r="A41" s="22"/>
      <c r="B41" s="22"/>
      <c r="C41" s="20"/>
      <c r="D41" s="20"/>
      <c r="E41" s="12" t="str">
        <f>IF(C41&gt;0,LOOKUP(C41,'Lista de Escolas'!$C$3:$C$178,'Lista de Escolas'!$E$3:$E$178),"")</f>
        <v/>
      </c>
      <c r="F41" s="12"/>
      <c r="G41" s="12"/>
      <c r="H41" s="12"/>
      <c r="I41" s="12"/>
      <c r="J41" s="20"/>
      <c r="K41" s="21"/>
      <c r="L41" s="23"/>
      <c r="M41" s="92"/>
    </row>
    <row r="42" spans="1:13" x14ac:dyDescent="0.25">
      <c r="A42" s="22"/>
      <c r="B42" s="22"/>
      <c r="C42" s="23"/>
      <c r="D42" s="23"/>
      <c r="E42" s="12" t="str">
        <f>IF(C42&gt;0,LOOKUP(C42,'Lista de Escolas'!$C$3:$C$178,'Lista de Escolas'!$E$3:$E$178),"")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2"/>
      <c r="B43" s="22"/>
      <c r="C43" s="20"/>
      <c r="D43" s="20"/>
      <c r="E43" s="12" t="str">
        <f>IF(C43&gt;0,LOOKUP(C43,'Lista de Escolas'!$C$3:$C$178,'Lista de Escolas'!$E$3:$E$178),"")</f>
        <v/>
      </c>
      <c r="F43" s="12"/>
      <c r="G43" s="12"/>
      <c r="H43" s="12"/>
      <c r="I43" s="12"/>
      <c r="J43" s="20"/>
      <c r="K43" s="21"/>
      <c r="L43" s="23"/>
      <c r="M43" s="92"/>
    </row>
    <row r="44" spans="1:13" x14ac:dyDescent="0.25">
      <c r="A44" s="22"/>
      <c r="B44" s="22"/>
      <c r="C44" s="23"/>
      <c r="D44" s="23"/>
      <c r="E44" s="12" t="str">
        <f>IF(C44&gt;0,LOOKUP(C44,'Lista de Escolas'!$C$3:$C$178,'Lista de Escolas'!$E$3:$E$178),"")</f>
        <v/>
      </c>
      <c r="F44" s="12"/>
      <c r="G44" s="12"/>
      <c r="H44" s="12"/>
      <c r="I44" s="12"/>
      <c r="J44" s="23"/>
      <c r="K44" s="24"/>
      <c r="L44" s="23"/>
      <c r="M44" s="92"/>
    </row>
    <row r="45" spans="1:13" x14ac:dyDescent="0.25">
      <c r="A45" s="23"/>
      <c r="B45" s="22"/>
      <c r="C45" s="20"/>
      <c r="D45" s="20"/>
      <c r="E45" s="12" t="str">
        <f>IF(C45&gt;0,LOOKUP(C45,'Lista de Escolas'!$C$3:$C$178,'Lista de Escolas'!$E$3:$E$178),"")</f>
        <v/>
      </c>
      <c r="F45" s="12"/>
      <c r="G45" s="12"/>
      <c r="H45" s="12"/>
      <c r="I45" s="12"/>
      <c r="J45" s="20"/>
      <c r="K45" s="21"/>
      <c r="L45" s="20"/>
      <c r="M45" s="92"/>
    </row>
    <row r="46" spans="1:13" x14ac:dyDescent="0.25">
      <c r="A46" s="22"/>
      <c r="B46" s="22"/>
      <c r="C46" s="20"/>
      <c r="D46" s="20"/>
      <c r="E46" s="12" t="str">
        <f>IF(C46&gt;0,LOOKUP(C46,'Lista de Escolas'!$C$3:$C$178,'Lista de Escolas'!$E$3:$E$178),"")</f>
        <v/>
      </c>
      <c r="F46" s="12"/>
      <c r="G46" s="12"/>
      <c r="H46" s="12"/>
      <c r="I46" s="12"/>
      <c r="J46" s="20"/>
      <c r="K46" s="21"/>
      <c r="L46" s="20"/>
      <c r="M46" s="92"/>
    </row>
    <row r="47" spans="1:13" x14ac:dyDescent="0.25">
      <c r="A47" s="22"/>
      <c r="B47" s="22"/>
      <c r="C47" s="20"/>
      <c r="D47" s="20"/>
      <c r="E47" s="12" t="str">
        <f>IF(C47&gt;0,LOOKUP(C47,'Lista de Escolas'!$C$3:$C$178,'Lista de Escolas'!$E$3:$E$178),"")</f>
        <v/>
      </c>
      <c r="F47" s="12"/>
      <c r="G47" s="12"/>
      <c r="H47" s="12"/>
      <c r="I47" s="12"/>
      <c r="J47" s="20"/>
      <c r="K47" s="21"/>
      <c r="L47" s="20"/>
      <c r="M47" s="92"/>
    </row>
    <row r="48" spans="1:13" x14ac:dyDescent="0.25">
      <c r="A48" s="23"/>
      <c r="B48" s="22"/>
      <c r="C48" s="23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3"/>
      <c r="K48" s="24"/>
      <c r="L48" s="23"/>
      <c r="M48" s="92"/>
    </row>
    <row r="49" spans="1:13" x14ac:dyDescent="0.25">
      <c r="A49" s="23"/>
      <c r="B49" s="22"/>
      <c r="C49" s="20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0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0"/>
      <c r="K50" s="21"/>
      <c r="L50" s="20"/>
      <c r="M50" s="92"/>
    </row>
    <row r="51" spans="1:13" x14ac:dyDescent="0.25">
      <c r="A51" s="22"/>
      <c r="B51" s="22"/>
      <c r="C51" s="20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0"/>
      <c r="K51" s="90"/>
      <c r="L51" s="20"/>
      <c r="M51" s="92"/>
    </row>
    <row r="52" spans="1:13" x14ac:dyDescent="0.25">
      <c r="A52" s="22"/>
      <c r="B52" s="22"/>
      <c r="D52" s="20"/>
      <c r="E52" s="12" t="str">
        <f>IF(C53&gt;0,LOOKUP(C53,'Lista de Escolas'!$C$3:$C$178,'Lista de Escolas'!$E$3:$E$178),"")</f>
        <v/>
      </c>
      <c r="F52" s="12"/>
      <c r="G52" s="12"/>
      <c r="H52" s="12"/>
      <c r="I52" s="12"/>
      <c r="J52" s="20"/>
      <c r="K52" s="90"/>
      <c r="L52" s="23"/>
      <c r="M52" s="92"/>
    </row>
    <row r="53" spans="1:13" x14ac:dyDescent="0.25">
      <c r="B53" s="22"/>
      <c r="C53" s="20"/>
      <c r="D53" s="20"/>
      <c r="E53" s="12" t="str">
        <f>IF(C54&gt;0,LOOKUP(C54,'Lista de Escolas'!$C$3:$C$178,'Lista de Escolas'!$E$3:$E$178),"")</f>
        <v/>
      </c>
      <c r="F53" s="12"/>
      <c r="G53" s="12"/>
      <c r="H53" s="12"/>
      <c r="I53" s="12"/>
      <c r="J53" s="20"/>
      <c r="K53" s="90"/>
      <c r="L53" s="20"/>
      <c r="M53" s="92"/>
    </row>
    <row r="54" spans="1:13" x14ac:dyDescent="0.25">
      <c r="B54" s="22"/>
      <c r="C54" s="20"/>
      <c r="E54" s="12" t="str">
        <f>IF(C55&gt;0,LOOKUP(C55,'Lista de Escolas'!$C$3:$C$178,'Lista de Escolas'!$E$3:$E$178),"")</f>
        <v/>
      </c>
      <c r="F54" s="12"/>
      <c r="G54" s="12"/>
      <c r="H54" s="12"/>
      <c r="I54" s="12"/>
      <c r="K54" s="90"/>
    </row>
    <row r="55" spans="1:13" x14ac:dyDescent="0.25">
      <c r="B55" s="22"/>
      <c r="C55" s="20"/>
      <c r="E55" s="12" t="str">
        <f>IF(C55&gt;0,LOOKUP(C55,'Lista de Escolas'!$C$3:$C$178,'Lista de Escolas'!$E$3:$E$178),"")</f>
        <v/>
      </c>
      <c r="F55" s="12"/>
      <c r="G55" s="12"/>
      <c r="H55" s="12"/>
      <c r="I55" s="12"/>
      <c r="K55" s="90"/>
    </row>
    <row r="56" spans="1:13" x14ac:dyDescent="0.25">
      <c r="B56" s="22"/>
      <c r="E56" s="12" t="str">
        <f>IF(C56&gt;0,LOOKUP(C56,'Lista de Escolas'!$C$3:$C$178,'Lista de Escolas'!$E$3:$E$178),"")</f>
        <v/>
      </c>
      <c r="F56" s="12"/>
      <c r="G56" s="12"/>
      <c r="H56" s="12"/>
      <c r="I56" s="12"/>
      <c r="K56" s="90"/>
    </row>
    <row r="57" spans="1:13" x14ac:dyDescent="0.25">
      <c r="B57" s="22"/>
      <c r="E57" s="12" t="str">
        <f>IF(C57&gt;0,LOOKUP(C57,'Lista de Escolas'!$C$3:$C$178,'Lista de Escolas'!$E$3:$E$178),"")</f>
        <v/>
      </c>
      <c r="F57" s="12"/>
      <c r="G57" s="12"/>
      <c r="H57" s="12"/>
      <c r="I57" s="12"/>
      <c r="K57" s="90"/>
    </row>
    <row r="58" spans="1:13" x14ac:dyDescent="0.25">
      <c r="B58" s="22"/>
      <c r="E58" s="12" t="str">
        <f>IF(C58&gt;0,LOOKUP(C58,'Lista de Escolas'!$C$3:$C$178,'Lista de Escolas'!$E$3:$E$178),"")</f>
        <v/>
      </c>
      <c r="F58" s="12"/>
      <c r="G58" s="12"/>
      <c r="H58" s="12"/>
      <c r="I58" s="12"/>
      <c r="K58" s="90"/>
    </row>
    <row r="59" spans="1:13" x14ac:dyDescent="0.25">
      <c r="B59" s="22"/>
      <c r="E59" s="12" t="str">
        <f>IF(C59&gt;0,LOOKUP(C59,'Lista de Escolas'!$C$3:$C$178,'Lista de Escolas'!$E$3:$E$178),"")</f>
        <v/>
      </c>
      <c r="F59" s="12"/>
      <c r="G59" s="12"/>
      <c r="H59" s="12"/>
      <c r="I59" s="12"/>
      <c r="K59" s="90"/>
    </row>
    <row r="60" spans="1:13" x14ac:dyDescent="0.25">
      <c r="B60" s="22"/>
      <c r="E60" s="12" t="str">
        <f>IF(C60&gt;0,LOOKUP(C60,'Lista de Escolas'!$C$3:$C$178,'Lista de Escolas'!$E$3:$E$178),"")</f>
        <v/>
      </c>
      <c r="F60" s="12"/>
      <c r="G60" s="12"/>
      <c r="H60" s="12"/>
      <c r="I60" s="12"/>
      <c r="K60" s="90"/>
    </row>
    <row r="61" spans="1:13" x14ac:dyDescent="0.25">
      <c r="B61" s="94"/>
      <c r="E61" s="12" t="str">
        <f>IF(C61&gt;0,LOOKUP(C61,'Lista de Escolas'!$C$3:$C$178,'Lista de Escolas'!$E$3:$E$178),"")</f>
        <v/>
      </c>
      <c r="F61" s="12"/>
      <c r="G61" s="12"/>
      <c r="H61" s="12"/>
      <c r="I61" s="12"/>
    </row>
    <row r="62" spans="1:13" x14ac:dyDescent="0.25">
      <c r="B62" s="94"/>
      <c r="E62" s="12" t="str">
        <f>IF(C62&gt;0,LOOKUP(C62,'Lista de Escolas'!$C$3:$C$178,'Lista de Escolas'!$E$3:$E$178),"")</f>
        <v/>
      </c>
      <c r="F62" s="12"/>
      <c r="G62" s="12"/>
      <c r="H62" s="12"/>
      <c r="I62" s="12"/>
    </row>
    <row r="63" spans="1:13" x14ac:dyDescent="0.25">
      <c r="B63" s="94"/>
      <c r="E63" s="12" t="str">
        <f>IF(C63&gt;0,LOOKUP(C63,'Lista de Escolas'!$C$3:$C$178,'Lista de Escolas'!$E$3:$E$178),"")</f>
        <v/>
      </c>
      <c r="F63" s="12"/>
      <c r="G63" s="12"/>
      <c r="H63" s="12"/>
      <c r="I63" s="12"/>
    </row>
    <row r="64" spans="1:13" x14ac:dyDescent="0.25">
      <c r="B64" s="94"/>
      <c r="E64" s="12" t="str">
        <f>IF(C64&gt;0,LOOKUP(C64,'Lista de Escolas'!$C$3:$C$178,'Lista de Escolas'!$E$3:$E$178),"")</f>
        <v/>
      </c>
      <c r="F64" s="12"/>
      <c r="G64" s="12"/>
      <c r="H64" s="12"/>
      <c r="I64" s="12"/>
    </row>
    <row r="65" spans="2:11" x14ac:dyDescent="0.25">
      <c r="B65" s="94"/>
      <c r="E65" s="12" t="str">
        <f>IF(C65&gt;0,LOOKUP(C65,'Lista de Escolas'!$C$3:$C$178,'Lista de Escolas'!$E$3:$E$178),"")</f>
        <v/>
      </c>
      <c r="F65" s="12"/>
      <c r="G65" s="12"/>
      <c r="H65" s="12"/>
      <c r="I65" s="12"/>
    </row>
    <row r="66" spans="2:11" x14ac:dyDescent="0.25">
      <c r="B66" s="94"/>
      <c r="E66" s="12" t="str">
        <f>IF(C66&gt;0,LOOKUP(C66,'Lista de Escolas'!$C$3:$C$178,'Lista de Escolas'!$E$3:$E$178),"")</f>
        <v/>
      </c>
      <c r="F66" s="12"/>
      <c r="G66" s="12"/>
      <c r="H66" s="12"/>
      <c r="I66" s="12"/>
    </row>
    <row r="67" spans="2:11" x14ac:dyDescent="0.25">
      <c r="B67" s="94"/>
      <c r="E67" s="12" t="str">
        <f>IF(C67&gt;0,LOOKUP(C67,'Lista de Escolas'!$C$3:$C$178,'Lista de Escolas'!$E$3:$E$178),"")</f>
        <v/>
      </c>
      <c r="F67" s="12"/>
      <c r="G67" s="12"/>
      <c r="H67" s="12"/>
      <c r="I67" s="12"/>
      <c r="K67" s="90"/>
    </row>
    <row r="68" spans="2:11" x14ac:dyDescent="0.25">
      <c r="B68" s="94"/>
      <c r="E68" s="12" t="str">
        <f>IF(C68&gt;0,LOOKUP(C68,'Lista de Escolas'!$C$3:$C$178,'Lista de Escolas'!$E$3:$E$178),"")</f>
        <v/>
      </c>
      <c r="F68" s="12"/>
      <c r="G68" s="12"/>
      <c r="H68" s="12"/>
      <c r="I68" s="12"/>
      <c r="K68" s="90"/>
    </row>
    <row r="69" spans="2:11" x14ac:dyDescent="0.25">
      <c r="B69" s="94"/>
      <c r="E69" s="12" t="str">
        <f>IF(C69&gt;0,LOOKUP(C69,'Lista de Escolas'!$C$3:$C$178,'Lista de Escolas'!$E$3:$E$178),"")</f>
        <v/>
      </c>
      <c r="F69" s="12"/>
      <c r="G69" s="12"/>
      <c r="H69" s="12"/>
      <c r="I69" s="12"/>
      <c r="K69" s="90"/>
    </row>
    <row r="70" spans="2:11" x14ac:dyDescent="0.25">
      <c r="B70" s="94"/>
      <c r="E70" s="12" t="str">
        <f>IF(C70&gt;0,LOOKUP(C70,'Lista de Escolas'!$C$3:$C$178,'Lista de Escolas'!$E$3:$E$178),"")</f>
        <v/>
      </c>
      <c r="F70" s="12"/>
      <c r="G70" s="12"/>
      <c r="H70" s="12"/>
      <c r="I70" s="12"/>
      <c r="K70" s="21"/>
    </row>
    <row r="71" spans="2:11" x14ac:dyDescent="0.25">
      <c r="B71" s="94"/>
      <c r="E71" s="12" t="str">
        <f>IF(C71&gt;0,LOOKUP(C71,'Lista de Escolas'!$C$3:$C$178,'Lista de Escolas'!$E$3:$E$178),"")</f>
        <v/>
      </c>
      <c r="F71" s="12"/>
      <c r="G71" s="12"/>
      <c r="H71" s="12"/>
      <c r="I71" s="12"/>
      <c r="K71" s="21"/>
    </row>
    <row r="72" spans="2:11" x14ac:dyDescent="0.25">
      <c r="B72" s="94"/>
      <c r="E72" s="12" t="str">
        <f>IF(C72&gt;0,LOOKUP(C72,'Lista de Escolas'!$C$3:$C$178,'Lista de Escolas'!$E$3:$E$178),"")</f>
        <v/>
      </c>
      <c r="F72" s="12"/>
      <c r="G72" s="12"/>
      <c r="H72" s="12"/>
      <c r="I72" s="12"/>
    </row>
    <row r="73" spans="2:11" x14ac:dyDescent="0.25">
      <c r="B73" s="94"/>
      <c r="E73" s="12" t="str">
        <f>IF(C73&gt;0,LOOKUP(C73,'Lista de Escolas'!$C$3:$C$178,'Lista de Escolas'!$E$3:$E$178),"")</f>
        <v/>
      </c>
      <c r="F73" s="12"/>
      <c r="G73" s="12"/>
      <c r="H73" s="12"/>
      <c r="I73" s="12"/>
      <c r="K73" s="90"/>
    </row>
    <row r="74" spans="2:11" x14ac:dyDescent="0.25">
      <c r="B74" s="94"/>
      <c r="E74" s="12" t="str">
        <f>IF(C74&gt;0,LOOKUP(C74,'Lista de Escolas'!$C$3:$C$178,'Lista de Escolas'!$E$3:$E$178),"")</f>
        <v/>
      </c>
      <c r="F74" s="12"/>
      <c r="G74" s="12"/>
      <c r="H74" s="12"/>
      <c r="I74" s="12"/>
      <c r="K74" s="90"/>
    </row>
    <row r="75" spans="2:11" x14ac:dyDescent="0.25">
      <c r="B75" s="94"/>
      <c r="E75" s="12" t="str">
        <f>IF(C75&gt;0,LOOKUP(C75,'Lista de Escolas'!$C$3:$C$178,'Lista de Escolas'!$E$3:$E$178),"")</f>
        <v/>
      </c>
      <c r="F75" s="12"/>
      <c r="G75" s="12"/>
      <c r="H75" s="12"/>
      <c r="I75" s="12"/>
      <c r="K75" s="90"/>
    </row>
    <row r="76" spans="2:11" x14ac:dyDescent="0.25">
      <c r="B76" s="94"/>
      <c r="E76" s="12" t="str">
        <f>IF(C76&gt;0,LOOKUP(C76,'Lista de Escolas'!$C$3:$C$178,'Lista de Escolas'!$E$3:$E$178),"")</f>
        <v/>
      </c>
      <c r="F76" s="12"/>
      <c r="G76" s="12"/>
      <c r="H76" s="12"/>
      <c r="I76" s="12"/>
      <c r="K76" s="90"/>
    </row>
    <row r="77" spans="2:11" x14ac:dyDescent="0.25">
      <c r="B77" s="94"/>
      <c r="E77" s="12" t="str">
        <f>IF(C77&gt;0,LOOKUP(C77,'Lista de Escolas'!$C$3:$C$178,'Lista de Escolas'!$E$3:$E$178),"")</f>
        <v/>
      </c>
      <c r="F77" s="12"/>
      <c r="G77" s="12"/>
      <c r="H77" s="12"/>
      <c r="I77" s="12"/>
      <c r="K77" s="90"/>
    </row>
    <row r="78" spans="2:11" x14ac:dyDescent="0.25">
      <c r="B78" s="94"/>
      <c r="E78" s="12" t="str">
        <f>IF(C78&gt;0,LOOKUP(C78,'Lista de Escolas'!$C$3:$C$178,'Lista de Escolas'!$E$3:$E$178),"")</f>
        <v/>
      </c>
      <c r="F78" s="12"/>
      <c r="G78" s="12"/>
      <c r="H78" s="12"/>
      <c r="I78" s="12"/>
      <c r="K78" s="90"/>
    </row>
    <row r="79" spans="2:11" x14ac:dyDescent="0.25">
      <c r="B79" s="94"/>
      <c r="E79" s="12" t="str">
        <f>IF(C79&gt;0,LOOKUP(C79,'Lista de Escolas'!$C$3:$C$178,'Lista de Escolas'!$E$3:$E$178),"")</f>
        <v/>
      </c>
      <c r="F79" s="12"/>
      <c r="G79" s="12"/>
      <c r="H79" s="12"/>
      <c r="I79" s="12"/>
      <c r="K79" s="90"/>
    </row>
    <row r="80" spans="2:11" x14ac:dyDescent="0.25">
      <c r="B80" s="94"/>
      <c r="E80" s="12" t="str">
        <f>IF(C80&gt;0,LOOKUP(C80,'Lista de Escolas'!$C$3:$C$178,'Lista de Escolas'!$E$3:$E$178),"")</f>
        <v/>
      </c>
      <c r="F80" s="12"/>
      <c r="G80" s="12"/>
      <c r="H80" s="12"/>
      <c r="I80" s="12"/>
      <c r="K80" s="90"/>
    </row>
    <row r="81" spans="2:11" x14ac:dyDescent="0.25">
      <c r="B81" s="94"/>
      <c r="E81" s="12" t="str">
        <f>IF(C81&gt;0,LOOKUP(C81,'Lista de Escolas'!$C$3:$C$178,'Lista de Escolas'!$E$3:$E$178),"")</f>
        <v/>
      </c>
      <c r="F81" s="12"/>
      <c r="G81" s="12"/>
      <c r="H81" s="12"/>
      <c r="I81" s="12"/>
      <c r="K81" s="90"/>
    </row>
    <row r="82" spans="2:11" x14ac:dyDescent="0.25">
      <c r="B82" s="94"/>
      <c r="E82" s="12" t="str">
        <f>IF(C82&gt;0,LOOKUP(C82,'Lista de Escolas'!$C$3:$C$178,'Lista de Escolas'!$E$3:$E$178),"")</f>
        <v/>
      </c>
      <c r="F82" s="12"/>
      <c r="G82" s="12"/>
      <c r="H82" s="12"/>
      <c r="I82" s="12"/>
    </row>
    <row r="83" spans="2:11" x14ac:dyDescent="0.25">
      <c r="E83" s="12" t="str">
        <f>IF(C83&gt;0,LOOKUP(C83,'Lista de Escolas'!$C$3:$C$178,'Lista de Escolas'!$E$3:$E$178),"")</f>
        <v/>
      </c>
      <c r="F83" s="12" t="s">
        <v>605</v>
      </c>
      <c r="G83" s="12" t="s">
        <v>606</v>
      </c>
      <c r="H83" s="12" t="s">
        <v>607</v>
      </c>
      <c r="I83" s="12" t="s">
        <v>608</v>
      </c>
      <c r="J83" s="1" t="s">
        <v>609</v>
      </c>
    </row>
    <row r="84" spans="2:11" x14ac:dyDescent="0.25">
      <c r="B84" s="12" t="s">
        <v>31</v>
      </c>
      <c r="C84" s="7" t="s">
        <v>32</v>
      </c>
      <c r="E84" s="1">
        <f>COUNTIFS(E5:E82,"=Escolas Rainha Santa Isabel")</f>
        <v>6</v>
      </c>
      <c r="F84" s="1">
        <f>SUM(F5:F64)</f>
        <v>8</v>
      </c>
      <c r="G84" s="1">
        <f>SUM(G5:G79)</f>
        <v>3</v>
      </c>
      <c r="H84" s="1">
        <f t="shared" ref="H84:J84" si="0">SUM(H5:H79)</f>
        <v>2</v>
      </c>
      <c r="I84" s="1">
        <f t="shared" si="0"/>
        <v>1</v>
      </c>
      <c r="J84" s="1">
        <f t="shared" si="0"/>
        <v>0</v>
      </c>
    </row>
    <row r="85" spans="2:11" x14ac:dyDescent="0.25">
      <c r="B85" s="12">
        <f>COUNT(B5:B82)</f>
        <v>11</v>
      </c>
      <c r="C85" s="7" t="s">
        <v>33</v>
      </c>
      <c r="E85" s="1">
        <f>COUNTIFS(E5:E82,"=Escolas Dr. Correia Mateus")</f>
        <v>0</v>
      </c>
    </row>
    <row r="86" spans="2:11" x14ac:dyDescent="0.25">
      <c r="C86" s="7" t="s">
        <v>34</v>
      </c>
      <c r="E86" s="1">
        <f>COUNTIFS(E5:E82,"=Escolas da Caranguejeira - Santa Catarina da Serra")</f>
        <v>0</v>
      </c>
    </row>
    <row r="87" spans="2:11" x14ac:dyDescent="0.25">
      <c r="C87" s="7" t="s">
        <v>35</v>
      </c>
      <c r="E87" s="1">
        <f>COUNTIFS(E5:E82,"=Escolas de Colmeias")</f>
        <v>0</v>
      </c>
    </row>
    <row r="88" spans="2:11" x14ac:dyDescent="0.25">
      <c r="C88" s="7" t="s">
        <v>36</v>
      </c>
      <c r="E88" s="1">
        <f>COUNTIFS(E5:E82,"=Escolas de Marrazes")</f>
        <v>0</v>
      </c>
    </row>
    <row r="89" spans="2:11" x14ac:dyDescent="0.25">
      <c r="C89" s="7" t="s">
        <v>37</v>
      </c>
      <c r="E89" s="1">
        <f>COUNTIFS(E5:E82,"=Escolas Domingos Sequeira")</f>
        <v>4</v>
      </c>
    </row>
    <row r="90" spans="2:11" x14ac:dyDescent="0.25">
      <c r="C90" s="7" t="s">
        <v>38</v>
      </c>
      <c r="E90" s="1">
        <f>COUNTIFS(E5:E82,"=Escolas D. Dinis")</f>
        <v>1</v>
      </c>
    </row>
    <row r="91" spans="2:11" x14ac:dyDescent="0.25">
      <c r="C91" s="7" t="s">
        <v>39</v>
      </c>
      <c r="E91" s="1">
        <f>COUNTIFS(E5:E82,"=Henrique Sommer")</f>
        <v>0</v>
      </c>
    </row>
    <row r="92" spans="2:11" x14ac:dyDescent="0.25">
      <c r="C92" s="141" t="s">
        <v>40</v>
      </c>
      <c r="E92" s="1">
        <f>SUM(E84:E91)</f>
        <v>11</v>
      </c>
    </row>
  </sheetData>
  <customSheetViews>
    <customSheetView guid="{7E850ADC-7020-4CE4-9656-1D37A8554340}" hiddenColumns="1" topLeftCell="B1">
      <selection activeCell="E71" sqref="E71"/>
      <pageMargins left="0" right="0" top="0" bottom="0" header="0" footer="0"/>
      <pageSetup paperSize="9" orientation="landscape" horizontalDpi="1200" verticalDpi="1200"/>
    </customSheetView>
    <customSheetView guid="{6C6D19B4-0AAB-4D39-9585-2246A62E9472}" hiddenColumns="1" topLeftCell="B1">
      <selection activeCell="E71" sqref="E71"/>
      <pageMargins left="0" right="0" top="0" bottom="0" header="0" footer="0"/>
      <pageSetup paperSize="9" orientation="landscape" horizontalDpi="1200" verticalDpi="1200"/>
    </customSheetView>
  </customSheetViews>
  <mergeCells count="2">
    <mergeCell ref="B1:L1"/>
    <mergeCell ref="B3:L3"/>
  </mergeCells>
  <phoneticPr fontId="6" type="noConversion"/>
  <pageMargins left="0.25" right="0.25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"/>
  <sheetViews>
    <sheetView topLeftCell="B3" zoomScale="110" zoomScaleNormal="110" workbookViewId="0">
      <pane ySplit="2" topLeftCell="A42" activePane="bottomLeft" state="frozen"/>
      <selection activeCell="B3" sqref="B3"/>
      <selection pane="bottomLeft" activeCell="F79" sqref="F79:J80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2.425781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12.28515625" style="1" customWidth="1"/>
    <col min="11" max="11" width="112.42578125" style="7" customWidth="1"/>
    <col min="12" max="12" width="63.42578125" style="1" bestFit="1" customWidth="1"/>
  </cols>
  <sheetData>
    <row r="1" spans="1:12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2" x14ac:dyDescent="0.25">
      <c r="A3" s="89"/>
      <c r="B3" s="240" t="s">
        <v>61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2" s="9" customFormat="1" x14ac:dyDescent="0.25">
      <c r="A4" s="88" t="s">
        <v>1</v>
      </c>
      <c r="B4" s="88" t="s">
        <v>2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2" s="161" customFormat="1" x14ac:dyDescent="0.25">
      <c r="A5" s="11"/>
      <c r="B5" s="25">
        <v>46083</v>
      </c>
      <c r="C5" s="12" t="s">
        <v>237</v>
      </c>
      <c r="E5" s="12" t="str">
        <f>IF(C5&gt;0,LOOKUP(C5,'Lista de Escolas'!$C$2:$C$181,'Lista de Escolas'!$E$2:$E$181),"")</f>
        <v>Escolas Rainha Santa Isabel</v>
      </c>
      <c r="F5" s="12"/>
      <c r="G5" s="12"/>
      <c r="H5" s="12">
        <v>1</v>
      </c>
      <c r="I5" s="12"/>
      <c r="J5" s="12"/>
      <c r="K5" s="90" t="s">
        <v>617</v>
      </c>
      <c r="L5" s="12"/>
    </row>
    <row r="6" spans="1:12" s="4" customFormat="1" ht="18" customHeight="1" x14ac:dyDescent="0.2">
      <c r="A6" s="11"/>
      <c r="B6" s="25">
        <v>46083</v>
      </c>
      <c r="C6" s="12" t="s">
        <v>253</v>
      </c>
      <c r="D6" s="12"/>
      <c r="E6" s="12" t="str">
        <f>IF(C6&gt;0,LOOKUP(C6,'Lista de Escolas'!$C$2:$C$181,'Lista de Escolas'!$E$2:$E$181),"")</f>
        <v>Escolas Rainha Santa Isabel</v>
      </c>
      <c r="F6" s="12"/>
      <c r="G6" s="12"/>
      <c r="H6" s="12">
        <v>1</v>
      </c>
      <c r="I6" s="12"/>
      <c r="J6" s="12"/>
      <c r="K6" s="90" t="s">
        <v>618</v>
      </c>
    </row>
    <row r="7" spans="1:12" s="4" customFormat="1" ht="18" customHeight="1" x14ac:dyDescent="0.2">
      <c r="A7" s="11"/>
      <c r="B7" s="25">
        <v>46083</v>
      </c>
      <c r="C7" s="12" t="s">
        <v>619</v>
      </c>
      <c r="D7" s="12"/>
      <c r="E7" s="12" t="str">
        <f>IF(C7&gt;0,LOOKUP(C7,'Lista de Escolas'!$C$2:$C$181,'Lista de Escolas'!$E$2:$E$181),"")</f>
        <v>Escolas Rainha Santa Isabel</v>
      </c>
      <c r="F7" s="12">
        <v>1</v>
      </c>
      <c r="G7" s="12"/>
      <c r="H7" s="12"/>
      <c r="I7" s="12"/>
      <c r="J7" s="12"/>
      <c r="K7" s="90" t="s">
        <v>620</v>
      </c>
      <c r="L7" s="12"/>
    </row>
    <row r="8" spans="1:12" s="4" customFormat="1" ht="18" customHeight="1" x14ac:dyDescent="0.2">
      <c r="A8" s="11"/>
      <c r="B8" s="25">
        <v>46083</v>
      </c>
      <c r="C8" s="12" t="s">
        <v>57</v>
      </c>
      <c r="D8" s="12"/>
      <c r="E8" s="12" t="str">
        <f>IF(C8&gt;0,LOOKUP(C8,'Lista de Escolas'!$C$2:$C$181,'Lista de Escolas'!$E$2:$E$181),"")</f>
        <v>Escolas Domingos Sequeira</v>
      </c>
      <c r="F8" s="12">
        <v>1</v>
      </c>
      <c r="G8" s="12">
        <v>1</v>
      </c>
      <c r="H8" s="12"/>
      <c r="I8" s="12"/>
      <c r="J8" s="3"/>
      <c r="K8" s="90" t="s">
        <v>621</v>
      </c>
      <c r="L8" s="12"/>
    </row>
    <row r="9" spans="1:12" s="4" customFormat="1" ht="18" customHeight="1" x14ac:dyDescent="0.2">
      <c r="A9" s="11"/>
      <c r="B9" s="25">
        <v>46083</v>
      </c>
      <c r="C9" s="12" t="s">
        <v>59</v>
      </c>
      <c r="D9" s="12"/>
      <c r="E9" s="12" t="str">
        <f>IF(C9&gt;0,LOOKUP(C9,'Lista de Escolas'!$C$2:$C$181,'Lista de Escolas'!$E$2:$E$181),"")</f>
        <v>Escolas Domingos Sequeira</v>
      </c>
      <c r="F9" s="12">
        <v>1</v>
      </c>
      <c r="G9" s="12"/>
      <c r="H9" s="12"/>
      <c r="I9" s="12"/>
      <c r="J9" s="3"/>
      <c r="K9" s="90" t="s">
        <v>622</v>
      </c>
      <c r="L9" s="12"/>
    </row>
    <row r="10" spans="1:12" s="4" customFormat="1" ht="18" customHeight="1" x14ac:dyDescent="0.2">
      <c r="A10" s="11"/>
      <c r="B10" s="25">
        <v>46083</v>
      </c>
      <c r="C10" s="12" t="s">
        <v>268</v>
      </c>
      <c r="D10" s="3"/>
      <c r="E10" s="12" t="str">
        <f>IF(C10&gt;0,LOOKUP(C10,'Lista de Escolas'!$C$2:$C$181,'Lista de Escolas'!$E$2:$E$181),"")</f>
        <v>Escolas Rainha Santa Isabel</v>
      </c>
      <c r="F10" s="12"/>
      <c r="G10" s="12"/>
      <c r="H10" s="12">
        <v>1</v>
      </c>
      <c r="I10" s="12"/>
      <c r="J10" s="3"/>
      <c r="K10" s="90" t="s">
        <v>623</v>
      </c>
      <c r="L10" s="3"/>
    </row>
    <row r="11" spans="1:12" s="4" customFormat="1" ht="18" customHeight="1" x14ac:dyDescent="0.2">
      <c r="A11" s="11"/>
      <c r="B11" s="25">
        <v>46085</v>
      </c>
      <c r="C11" s="12" t="s">
        <v>626</v>
      </c>
      <c r="D11" s="3"/>
      <c r="E11" s="12" t="str">
        <f>IF(C11&gt;0,LOOKUP(C11,'Lista de Escolas'!$C$2:$C$181,'Lista de Escolas'!$E$2:$E$181),"")</f>
        <v>Henrique Sommer</v>
      </c>
      <c r="F11" s="12">
        <v>1</v>
      </c>
      <c r="G11" s="12"/>
      <c r="H11" s="12"/>
      <c r="I11" s="12"/>
      <c r="J11" s="3"/>
      <c r="K11" s="90" t="s">
        <v>630</v>
      </c>
      <c r="L11" s="12" t="s">
        <v>64</v>
      </c>
    </row>
    <row r="12" spans="1:12" s="4" customFormat="1" ht="18" customHeight="1" x14ac:dyDescent="0.2">
      <c r="A12" s="11"/>
      <c r="B12" s="25">
        <v>46087</v>
      </c>
      <c r="C12" s="3" t="s">
        <v>626</v>
      </c>
      <c r="D12" s="3"/>
      <c r="E12" s="12" t="str">
        <f>IF(C12&gt;0,LOOKUP(C12,'Lista de Escolas'!$C$2:$C$181,'Lista de Escolas'!$E$2:$E$181),"")</f>
        <v>Henrique Sommer</v>
      </c>
      <c r="F12" s="12">
        <v>1</v>
      </c>
      <c r="G12" s="12"/>
      <c r="H12" s="12"/>
      <c r="I12" s="12"/>
      <c r="J12" s="12"/>
      <c r="K12" s="90" t="s">
        <v>631</v>
      </c>
      <c r="L12" s="12"/>
    </row>
    <row r="13" spans="1:12" s="4" customFormat="1" ht="18" customHeight="1" x14ac:dyDescent="0.2">
      <c r="A13" s="11"/>
      <c r="B13" s="25">
        <v>46087</v>
      </c>
      <c r="C13" s="12" t="s">
        <v>632</v>
      </c>
      <c r="D13" s="12"/>
      <c r="E13" s="12" t="str">
        <f>IF(C13&gt;0,LOOKUP(C13,'Lista de Escolas'!$C$2:$C$181,'Lista de Escolas'!$E$2:$E$181),"")</f>
        <v>Escolas Rainha Santa Isabel</v>
      </c>
      <c r="F13" s="12">
        <v>1</v>
      </c>
      <c r="G13" s="12"/>
      <c r="H13" s="12"/>
      <c r="I13" s="12"/>
      <c r="J13" s="12"/>
      <c r="K13" s="4" t="s">
        <v>633</v>
      </c>
      <c r="L13" s="12"/>
    </row>
    <row r="14" spans="1:12" s="4" customFormat="1" ht="18" customHeight="1" x14ac:dyDescent="0.2">
      <c r="A14" s="11"/>
      <c r="B14" s="25">
        <v>46090</v>
      </c>
      <c r="C14" s="12" t="s">
        <v>66</v>
      </c>
      <c r="D14" s="3"/>
      <c r="E14" s="12" t="str">
        <f>IF(C14&gt;0,LOOKUP(C14,'Lista de Escolas'!$C$2:$C$181,'Lista de Escolas'!$E$2:$E$181),"")</f>
        <v>Henrique Sommer</v>
      </c>
      <c r="F14" s="12"/>
      <c r="G14" s="12"/>
      <c r="H14" s="12">
        <v>1</v>
      </c>
      <c r="I14" s="12"/>
      <c r="J14" s="12"/>
      <c r="K14" s="91" t="s">
        <v>634</v>
      </c>
      <c r="L14" s="3"/>
    </row>
    <row r="15" spans="1:12" s="4" customFormat="1" ht="18" customHeight="1" x14ac:dyDescent="0.2">
      <c r="A15" s="11"/>
      <c r="B15" s="25">
        <v>46090</v>
      </c>
      <c r="C15" s="12" t="s">
        <v>635</v>
      </c>
      <c r="D15" s="12"/>
      <c r="E15" s="12" t="str">
        <f>IF(C15&gt;0,LOOKUP(C15,'Lista de Escolas'!$C$2:$C$181,'Lista de Escolas'!$E$2:$E$181),"")</f>
        <v>Escolas Domingos Sequeira</v>
      </c>
      <c r="F15" s="12"/>
      <c r="G15" s="12"/>
      <c r="H15" s="12">
        <v>1</v>
      </c>
      <c r="I15" s="12"/>
      <c r="J15" s="3"/>
      <c r="K15" s="4" t="s">
        <v>636</v>
      </c>
      <c r="L15" s="12" t="s">
        <v>64</v>
      </c>
    </row>
    <row r="16" spans="1:12" s="4" customFormat="1" ht="18" customHeight="1" x14ac:dyDescent="0.2">
      <c r="A16" s="11"/>
      <c r="B16" s="25">
        <v>46090</v>
      </c>
      <c r="C16" s="12" t="s">
        <v>89</v>
      </c>
      <c r="D16" s="3"/>
      <c r="E16" s="12" t="str">
        <f>IF(C16&gt;0,LOOKUP(C16,'Lista de Escolas'!$C$2:$C$181,'Lista de Escolas'!$E$2:$E$181),"")</f>
        <v>Escolas da Caranguejeira - Santa Catarina da Serra</v>
      </c>
      <c r="F16" s="12"/>
      <c r="G16" s="12"/>
      <c r="H16" s="12">
        <v>1</v>
      </c>
      <c r="I16" s="12"/>
      <c r="J16" s="12"/>
      <c r="K16" s="4" t="s">
        <v>637</v>
      </c>
      <c r="L16" s="12" t="s">
        <v>64</v>
      </c>
    </row>
    <row r="17" spans="1:13" s="4" customFormat="1" ht="18" customHeight="1" x14ac:dyDescent="0.2">
      <c r="A17" s="22"/>
      <c r="B17" s="25">
        <v>46091</v>
      </c>
      <c r="C17" s="6" t="s">
        <v>59</v>
      </c>
      <c r="D17" s="3"/>
      <c r="E17" s="12" t="str">
        <f>IF(C17&gt;0,LOOKUP(C17,'Lista de Escolas'!$C$2:$C$181,'Lista de Escolas'!$E$2:$E$181),"")</f>
        <v>Escolas Domingos Sequeira</v>
      </c>
      <c r="F17" s="12">
        <v>1</v>
      </c>
      <c r="G17" s="12"/>
      <c r="H17" s="12"/>
      <c r="I17" s="12"/>
      <c r="J17" s="12"/>
      <c r="K17" s="91" t="s">
        <v>638</v>
      </c>
      <c r="L17" s="12" t="s">
        <v>64</v>
      </c>
    </row>
    <row r="18" spans="1:13" ht="18" customHeight="1" x14ac:dyDescent="0.25">
      <c r="A18" s="22"/>
      <c r="B18" s="11">
        <v>46091</v>
      </c>
      <c r="C18" s="2" t="s">
        <v>24</v>
      </c>
      <c r="D18" s="3"/>
      <c r="E18" s="12" t="str">
        <f>IF(C18&gt;0,LOOKUP(C18,'Lista de Escolas'!$C$2:$C$181,'Lista de Escolas'!$E$2:$E$181),"")</f>
        <v>Escolas D. Dinis</v>
      </c>
      <c r="F18" s="12">
        <v>1</v>
      </c>
      <c r="G18" s="12"/>
      <c r="H18" s="12">
        <v>1</v>
      </c>
      <c r="I18" s="12">
        <v>1</v>
      </c>
      <c r="J18" s="3"/>
      <c r="K18" s="4" t="s">
        <v>639</v>
      </c>
      <c r="L18" s="3" t="s">
        <v>64</v>
      </c>
      <c r="M18" s="3"/>
    </row>
    <row r="19" spans="1:13" ht="18" customHeight="1" x14ac:dyDescent="0.25">
      <c r="A19" s="22"/>
      <c r="B19" s="25">
        <v>46094</v>
      </c>
      <c r="C19" s="3" t="s">
        <v>30</v>
      </c>
      <c r="D19" s="3"/>
      <c r="E19" s="12" t="str">
        <f>IF(C19&gt;0,LOOKUP(C19,'Lista de Escolas'!$C$2:$C$181,'Lista de Escolas'!$E$2:$E$181),"")</f>
        <v>Escolas da Caranguejeira - Santa Catarina da Serra</v>
      </c>
      <c r="F19" s="12">
        <v>1</v>
      </c>
      <c r="G19" s="12"/>
      <c r="H19" s="12"/>
      <c r="I19" s="12"/>
      <c r="J19" s="3"/>
      <c r="K19" s="4" t="s">
        <v>640</v>
      </c>
      <c r="L19" s="3" t="s">
        <v>64</v>
      </c>
    </row>
    <row r="20" spans="1:13" s="13" customFormat="1" ht="18" customHeight="1" x14ac:dyDescent="0.2">
      <c r="A20" s="22"/>
      <c r="B20" s="25">
        <v>46094</v>
      </c>
      <c r="C20" s="12" t="s">
        <v>10</v>
      </c>
      <c r="D20" s="12"/>
      <c r="E20" s="12" t="str">
        <f>IF(C20&gt;0,LOOKUP(C20,'Lista de Escolas'!$C$2:$C$181,'Lista de Escolas'!$E$2:$E$181),"")</f>
        <v>Escolas D. Dinis</v>
      </c>
      <c r="F20" s="12"/>
      <c r="G20" s="12"/>
      <c r="H20" s="12"/>
      <c r="I20" s="12">
        <v>1</v>
      </c>
      <c r="J20" s="12"/>
      <c r="K20" s="91" t="s">
        <v>641</v>
      </c>
      <c r="L20" s="12"/>
    </row>
    <row r="21" spans="1:13" ht="18" customHeight="1" x14ac:dyDescent="0.25">
      <c r="A21" s="22"/>
      <c r="B21" s="25">
        <v>46100</v>
      </c>
      <c r="C21" s="3" t="s">
        <v>230</v>
      </c>
      <c r="D21" s="3"/>
      <c r="E21" s="12" t="str">
        <f>IF(C21&gt;0,LOOKUP(C21,'Lista de Escolas'!$C$2:$C$181,'Lista de Escolas'!$E$2:$E$181),"")</f>
        <v>Escolas Rainha Santa Isabel</v>
      </c>
      <c r="F21" s="12">
        <v>1</v>
      </c>
      <c r="G21" s="12"/>
      <c r="H21" s="12"/>
      <c r="I21" s="12"/>
      <c r="J21" s="3"/>
      <c r="K21" s="4" t="s">
        <v>642</v>
      </c>
      <c r="L21" s="3" t="s">
        <v>64</v>
      </c>
    </row>
    <row r="22" spans="1:13" ht="18" customHeight="1" x14ac:dyDescent="0.25">
      <c r="A22" s="22"/>
      <c r="B22" s="25">
        <v>46100</v>
      </c>
      <c r="C22" s="3" t="s">
        <v>643</v>
      </c>
      <c r="D22" s="3"/>
      <c r="E22" s="12" t="e">
        <f>IF(C22&gt;0,LOOKUP(C22,'Lista de Escolas'!$C$2:$C$181,'Lista de Escolas'!$E$2:$E$181),"")</f>
        <v>#N/A</v>
      </c>
      <c r="F22" s="12">
        <v>1</v>
      </c>
      <c r="G22" s="12"/>
      <c r="H22" s="12"/>
      <c r="I22" s="12"/>
      <c r="J22" s="3"/>
      <c r="K22" s="4" t="s">
        <v>644</v>
      </c>
      <c r="L22" s="3"/>
    </row>
    <row r="23" spans="1:13" ht="18" customHeight="1" x14ac:dyDescent="0.25">
      <c r="A23" s="22"/>
      <c r="B23" s="25">
        <v>46100</v>
      </c>
      <c r="C23" s="3" t="s">
        <v>632</v>
      </c>
      <c r="D23" s="3"/>
      <c r="E23" s="12" t="str">
        <f>IF(C23&gt;0,LOOKUP(C23,'Lista de Escolas'!$C$2:$C$181,'Lista de Escolas'!$E$2:$E$181),"")</f>
        <v>Escolas Rainha Santa Isabel</v>
      </c>
      <c r="F23" s="12">
        <v>1</v>
      </c>
      <c r="G23" s="12"/>
      <c r="H23" s="12"/>
      <c r="I23" s="12"/>
      <c r="J23" s="3"/>
      <c r="K23" s="91" t="s">
        <v>644</v>
      </c>
      <c r="L23" s="3"/>
    </row>
    <row r="24" spans="1:13" ht="18" customHeight="1" x14ac:dyDescent="0.25">
      <c r="A24" s="22"/>
      <c r="B24" s="25">
        <v>46104</v>
      </c>
      <c r="C24" s="12" t="s">
        <v>230</v>
      </c>
      <c r="D24" s="12"/>
      <c r="E24" s="12" t="str">
        <f>IF(C24&gt;0,LOOKUP(C24,'Lista de Escolas'!$C$2:$C$181,'Lista de Escolas'!$E$2:$E$181),"")</f>
        <v>Escolas Rainha Santa Isabel</v>
      </c>
      <c r="F24" s="12">
        <v>1</v>
      </c>
      <c r="G24" s="12"/>
      <c r="H24" s="12"/>
      <c r="I24" s="12"/>
      <c r="J24" s="12"/>
      <c r="K24" s="91" t="s">
        <v>645</v>
      </c>
      <c r="L24" s="12"/>
    </row>
    <row r="25" spans="1:13" ht="18" customHeight="1" x14ac:dyDescent="0.25">
      <c r="A25" s="22"/>
      <c r="B25" s="25">
        <v>46104</v>
      </c>
      <c r="C25" s="12" t="s">
        <v>643</v>
      </c>
      <c r="D25" s="12"/>
      <c r="E25" s="12" t="e">
        <f>IF(C25&gt;0,LOOKUP(C25,'Lista de Escolas'!$C$2:$C$181,'Lista de Escolas'!$E$2:$E$181),"")</f>
        <v>#N/A</v>
      </c>
      <c r="F25" s="12">
        <v>1</v>
      </c>
      <c r="G25" s="12"/>
      <c r="H25" s="12"/>
      <c r="I25" s="12"/>
      <c r="J25" s="12"/>
      <c r="K25" s="91" t="s">
        <v>646</v>
      </c>
      <c r="L25" s="12"/>
    </row>
    <row r="26" spans="1:13" ht="18" customHeight="1" x14ac:dyDescent="0.25">
      <c r="A26" s="22"/>
      <c r="B26" s="25">
        <v>46104</v>
      </c>
      <c r="C26" s="3" t="s">
        <v>12</v>
      </c>
      <c r="D26" s="3"/>
      <c r="E26" s="12" t="str">
        <f>IF(C26&gt;0,LOOKUP(C26,'Lista de Escolas'!$C$2:$C$181,'Lista de Escolas'!$E$2:$E$181),"")</f>
        <v>Escolas D. Dinis</v>
      </c>
      <c r="F26" s="12"/>
      <c r="G26" s="12">
        <v>1</v>
      </c>
      <c r="H26" s="12"/>
      <c r="I26" s="12"/>
      <c r="J26" s="3"/>
      <c r="K26" s="4" t="s">
        <v>647</v>
      </c>
      <c r="L26" s="3"/>
    </row>
    <row r="27" spans="1:13" ht="18" customHeight="1" x14ac:dyDescent="0.25">
      <c r="A27" s="22"/>
      <c r="B27" s="25">
        <v>46104</v>
      </c>
      <c r="C27" s="3" t="s">
        <v>57</v>
      </c>
      <c r="D27" s="3"/>
      <c r="E27" s="12" t="str">
        <f>IF(C27&gt;0,LOOKUP(C27,'Lista de Escolas'!$C$2:$C$181,'Lista de Escolas'!$E$2:$E$181),"")</f>
        <v>Escolas Domingos Sequeira</v>
      </c>
      <c r="F27" s="12">
        <v>1</v>
      </c>
      <c r="G27" s="12"/>
      <c r="H27" s="12"/>
      <c r="I27" s="12"/>
      <c r="J27" s="3"/>
      <c r="K27" s="4" t="s">
        <v>648</v>
      </c>
      <c r="L27" s="3"/>
    </row>
    <row r="28" spans="1:13" x14ac:dyDescent="0.25">
      <c r="A28" s="22"/>
      <c r="B28" s="25">
        <v>46105</v>
      </c>
      <c r="C28" s="12" t="s">
        <v>120</v>
      </c>
      <c r="D28" s="12"/>
      <c r="E28" s="12" t="str">
        <f>IF(C28&gt;0,LOOKUP(C28,'Lista de Escolas'!$C$2:$C$181,'Lista de Escolas'!$E$2:$E$181),"")</f>
        <v>Escolas Rainha Santa Isabel</v>
      </c>
      <c r="F28" s="12"/>
      <c r="G28" s="12"/>
      <c r="H28" s="12">
        <v>1</v>
      </c>
      <c r="I28" s="12"/>
      <c r="J28" s="12"/>
      <c r="K28" s="4" t="s">
        <v>650</v>
      </c>
      <c r="L28" s="12"/>
    </row>
    <row r="29" spans="1:13" x14ac:dyDescent="0.25">
      <c r="A29" s="23"/>
      <c r="B29" s="25">
        <v>46105</v>
      </c>
      <c r="C29" s="3" t="s">
        <v>135</v>
      </c>
      <c r="D29" s="3"/>
      <c r="E29" s="12" t="str">
        <f>IF(C29&gt;0,LOOKUP(C29,'Lista de Escolas'!$C$2:$C$181,'Lista de Escolas'!$E$2:$E$181),"")</f>
        <v>Escolas Rainha Santa Isabel</v>
      </c>
      <c r="F29" s="12">
        <v>1</v>
      </c>
      <c r="G29" s="12"/>
      <c r="H29" s="12"/>
      <c r="I29" s="12"/>
      <c r="J29" s="3"/>
      <c r="K29" s="4" t="s">
        <v>651</v>
      </c>
      <c r="L29" s="3"/>
    </row>
    <row r="30" spans="1:13" x14ac:dyDescent="0.25">
      <c r="A30" s="23"/>
      <c r="B30" s="25">
        <v>46105</v>
      </c>
      <c r="C30" s="3" t="s">
        <v>30</v>
      </c>
      <c r="D30" s="3"/>
      <c r="E30" s="12" t="str">
        <f>IF(C30&gt;0,LOOKUP(C30,'Lista de Escolas'!$C$2:$C$181,'Lista de Escolas'!$E$2:$E$181),"")</f>
        <v>Escolas da Caranguejeira - Santa Catarina da Serra</v>
      </c>
      <c r="F30" s="12">
        <v>1</v>
      </c>
      <c r="G30" s="12"/>
      <c r="H30" s="12"/>
      <c r="I30" s="12"/>
      <c r="J30" s="3"/>
      <c r="K30" s="4" t="s">
        <v>652</v>
      </c>
      <c r="L30" s="3"/>
    </row>
    <row r="31" spans="1:13" x14ac:dyDescent="0.25">
      <c r="A31" s="23"/>
      <c r="B31" s="25">
        <v>46105</v>
      </c>
      <c r="C31" s="3" t="s">
        <v>66</v>
      </c>
      <c r="D31" s="3"/>
      <c r="E31" s="12" t="str">
        <f>IF(C31&gt;0,LOOKUP(C31,'Lista de Escolas'!$C$2:$C$181,'Lista de Escolas'!$E$2:$E$181),"")</f>
        <v>Henrique Sommer</v>
      </c>
      <c r="F31" s="12"/>
      <c r="G31" s="12"/>
      <c r="H31" s="12">
        <v>1</v>
      </c>
      <c r="I31" s="12"/>
      <c r="J31" s="3"/>
      <c r="K31" s="4" t="s">
        <v>653</v>
      </c>
      <c r="L31" s="3"/>
    </row>
    <row r="32" spans="1:13" x14ac:dyDescent="0.25">
      <c r="A32" s="22"/>
      <c r="B32" s="25">
        <v>46105</v>
      </c>
      <c r="C32" s="12" t="s">
        <v>632</v>
      </c>
      <c r="D32" s="12"/>
      <c r="E32" s="12" t="str">
        <f>IF(C32&gt;0,LOOKUP(C32,'Lista de Escolas'!$C$2:$C$181,'Lista de Escolas'!$E$2:$E$181),"")</f>
        <v>Escolas Rainha Santa Isabel</v>
      </c>
      <c r="F32" s="12">
        <v>1</v>
      </c>
      <c r="G32" s="12"/>
      <c r="H32" s="12"/>
      <c r="I32" s="12"/>
      <c r="J32" s="12"/>
      <c r="K32" s="91" t="s">
        <v>563</v>
      </c>
      <c r="L32" s="12"/>
    </row>
    <row r="33" spans="1:13" x14ac:dyDescent="0.25">
      <c r="A33" s="22"/>
      <c r="B33" s="25">
        <v>46106</v>
      </c>
      <c r="C33" s="12" t="s">
        <v>135</v>
      </c>
      <c r="D33" s="12"/>
      <c r="E33" s="12" t="str">
        <f>IF(C33&gt;0,LOOKUP(C33,'Lista de Escolas'!$C$2:$C$181,'Lista de Escolas'!$E$2:$E$181),"")</f>
        <v>Escolas Rainha Santa Isabel</v>
      </c>
      <c r="F33" s="12">
        <v>1</v>
      </c>
      <c r="G33" s="12"/>
      <c r="H33" s="12"/>
      <c r="I33" s="12"/>
      <c r="J33" s="12"/>
      <c r="K33" s="14" t="s">
        <v>654</v>
      </c>
      <c r="L33" s="12"/>
    </row>
    <row r="34" spans="1:13" x14ac:dyDescent="0.25">
      <c r="A34" s="22"/>
      <c r="B34" s="25">
        <v>46106</v>
      </c>
      <c r="C34" s="3" t="s">
        <v>12</v>
      </c>
      <c r="D34" s="3"/>
      <c r="E34" s="12" t="str">
        <f>IF(C34&gt;0,LOOKUP(C34,'Lista de Escolas'!$C$2:$C$181,'Lista de Escolas'!$E$2:$E$181),"")</f>
        <v>Escolas D. Dinis</v>
      </c>
      <c r="F34" s="12"/>
      <c r="G34" s="12">
        <v>1</v>
      </c>
      <c r="H34" s="12">
        <v>1</v>
      </c>
      <c r="I34" s="12"/>
      <c r="J34" s="3"/>
      <c r="K34" s="5" t="s">
        <v>655</v>
      </c>
      <c r="L34" s="3"/>
    </row>
    <row r="35" spans="1:13" x14ac:dyDescent="0.25">
      <c r="A35" s="22"/>
      <c r="B35" s="25">
        <v>46106</v>
      </c>
      <c r="C35" s="12" t="s">
        <v>18</v>
      </c>
      <c r="D35" s="12"/>
      <c r="E35" s="12" t="str">
        <f>IF(C35&gt;0,LOOKUP(C35,'Lista de Escolas'!$C$2:$C$181,'Lista de Escolas'!$E$2:$E$181),"")</f>
        <v>Escolas D. Dinis</v>
      </c>
      <c r="F35" s="12"/>
      <c r="G35" s="12"/>
      <c r="H35" s="12">
        <v>1</v>
      </c>
      <c r="I35" s="12"/>
      <c r="J35" s="12"/>
      <c r="K35" s="14" t="s">
        <v>656</v>
      </c>
      <c r="L35" s="12"/>
    </row>
    <row r="36" spans="1:13" x14ac:dyDescent="0.25">
      <c r="A36" s="22"/>
      <c r="B36" s="25">
        <v>46107</v>
      </c>
      <c r="C36" s="3" t="s">
        <v>24</v>
      </c>
      <c r="D36" s="3"/>
      <c r="E36" s="12" t="str">
        <f>IF(C36&gt;0,LOOKUP(C36,'Lista de Escolas'!$C$2:$C$181,'Lista de Escolas'!$E$2:$E$181),"")</f>
        <v>Escolas D. Dinis</v>
      </c>
      <c r="F36" s="12">
        <v>1</v>
      </c>
      <c r="G36" s="12"/>
      <c r="H36" s="12"/>
      <c r="I36" s="12"/>
      <c r="J36" s="3"/>
      <c r="K36" s="5" t="s">
        <v>657</v>
      </c>
      <c r="L36" s="3"/>
    </row>
    <row r="37" spans="1:13" x14ac:dyDescent="0.25">
      <c r="A37" s="23"/>
      <c r="B37" s="22">
        <v>46111</v>
      </c>
      <c r="C37" s="3" t="s">
        <v>131</v>
      </c>
      <c r="D37" s="3"/>
      <c r="E37" s="12" t="str">
        <f>IF(C37&gt;0,LOOKUP(C37,'Lista de Escolas'!$C$2:$C$181,'Lista de Escolas'!$E$2:$E$181),"")</f>
        <v>Escolas Rainha Santa Isabel</v>
      </c>
      <c r="F37" s="12">
        <v>1</v>
      </c>
      <c r="G37" s="12"/>
      <c r="H37" s="12">
        <v>1</v>
      </c>
      <c r="I37" s="12"/>
      <c r="J37" s="3"/>
      <c r="K37" s="5" t="s">
        <v>658</v>
      </c>
      <c r="L37" s="3"/>
    </row>
    <row r="38" spans="1:13" x14ac:dyDescent="0.25">
      <c r="A38" s="23"/>
      <c r="B38" s="22">
        <v>46111</v>
      </c>
      <c r="C38" s="20" t="s">
        <v>659</v>
      </c>
      <c r="D38" s="20"/>
      <c r="E38" s="12" t="str">
        <f>IF(C38&gt;0,LOOKUP(C38,'Lista de Escolas'!$C$2:$C$181,'Lista de Escolas'!$E$2:$E$181),"")</f>
        <v>Escolas Rainha Santa Isabel</v>
      </c>
      <c r="F38" s="12">
        <v>1</v>
      </c>
      <c r="G38" s="12"/>
      <c r="H38" s="12">
        <v>1</v>
      </c>
      <c r="I38" s="12"/>
      <c r="K38" s="7" t="s">
        <v>660</v>
      </c>
    </row>
    <row r="39" spans="1:13" x14ac:dyDescent="0.25">
      <c r="A39" s="22"/>
      <c r="B39" s="22">
        <v>46111</v>
      </c>
      <c r="C39" s="23" t="s">
        <v>291</v>
      </c>
      <c r="D39" s="23"/>
      <c r="E39" s="12" t="str">
        <f>IF(C39&gt;0,LOOKUP(C39,'Lista de Escolas'!$C$2:$C$181,'Lista de Escolas'!$E$2:$E$181),"")</f>
        <v>Henrique Sommer</v>
      </c>
      <c r="F39" s="12"/>
      <c r="G39" s="12"/>
      <c r="H39" s="12">
        <v>1</v>
      </c>
      <c r="I39" s="12"/>
      <c r="J39" s="23"/>
      <c r="K39" s="24" t="s">
        <v>661</v>
      </c>
      <c r="L39" s="23"/>
      <c r="M39" s="92"/>
    </row>
    <row r="40" spans="1:13" x14ac:dyDescent="0.25">
      <c r="A40" s="23"/>
      <c r="B40" s="22">
        <v>46111</v>
      </c>
      <c r="C40" s="20" t="s">
        <v>85</v>
      </c>
      <c r="D40" s="20"/>
      <c r="E40" s="12" t="str">
        <f>IF(C40&gt;0,LOOKUP(C40,'Lista de Escolas'!$C$2:$C$181,'Lista de Escolas'!$E$2:$E$181),"")</f>
        <v>Escolas Domingos Sequeira</v>
      </c>
      <c r="F40" s="12">
        <v>1</v>
      </c>
      <c r="G40" s="12"/>
      <c r="H40" s="12"/>
      <c r="I40" s="12"/>
      <c r="J40" s="20"/>
      <c r="K40" s="21" t="s">
        <v>662</v>
      </c>
      <c r="L40" s="20"/>
      <c r="M40" s="92"/>
    </row>
    <row r="41" spans="1:13" x14ac:dyDescent="0.25">
      <c r="A41" s="22"/>
      <c r="B41" s="22">
        <v>46112</v>
      </c>
      <c r="C41" s="20" t="s">
        <v>85</v>
      </c>
      <c r="D41" s="20"/>
      <c r="E41" s="12" t="str">
        <f>IF(C41&gt;0,LOOKUP(C41,'Lista de Escolas'!$C$2:$C$181,'Lista de Escolas'!$E$2:$E$181),"")</f>
        <v>Escolas Domingos Sequeira</v>
      </c>
      <c r="F41" s="12">
        <v>1</v>
      </c>
      <c r="G41" s="12"/>
      <c r="H41" s="12"/>
      <c r="I41" s="12"/>
      <c r="J41" s="20"/>
      <c r="K41" s="21" t="s">
        <v>664</v>
      </c>
      <c r="L41" s="23"/>
      <c r="M41" s="92"/>
    </row>
    <row r="42" spans="1:13" x14ac:dyDescent="0.25">
      <c r="A42" s="22"/>
      <c r="B42" s="22">
        <v>46112</v>
      </c>
      <c r="C42" s="23" t="s">
        <v>665</v>
      </c>
      <c r="D42" s="23"/>
      <c r="E42" s="12" t="str">
        <f>IF(C42&gt;0,LOOKUP(C42,'Lista de Escolas'!$C$2:$C$181,'Lista de Escolas'!$E$2:$E$181),"")</f>
        <v>Escolas Rainha Santa Isabel</v>
      </c>
      <c r="F42" s="12"/>
      <c r="G42" s="12"/>
      <c r="H42" s="12"/>
      <c r="I42" s="12"/>
      <c r="J42" s="23">
        <v>1</v>
      </c>
      <c r="K42" s="24" t="s">
        <v>666</v>
      </c>
      <c r="L42" s="23"/>
      <c r="M42" s="92"/>
    </row>
    <row r="43" spans="1:13" x14ac:dyDescent="0.25">
      <c r="A43" s="23"/>
      <c r="B43" s="22">
        <v>46112</v>
      </c>
      <c r="C43" s="23" t="s">
        <v>667</v>
      </c>
      <c r="D43" s="23"/>
      <c r="E43" s="12" t="str">
        <f>IF(C43&gt;0,LOOKUP(C43,'Lista de Escolas'!$C$2:$C$181,'Lista de Escolas'!$E$2:$E$181),"")</f>
        <v>Escolas da Caranguejeira - Santa Catarina da Serra</v>
      </c>
      <c r="F43" s="12">
        <v>1</v>
      </c>
      <c r="G43" s="12">
        <v>1</v>
      </c>
      <c r="H43" s="12">
        <v>1</v>
      </c>
      <c r="I43" s="12"/>
      <c r="J43" s="23"/>
      <c r="K43" s="24" t="s">
        <v>668</v>
      </c>
      <c r="L43" s="23"/>
      <c r="M43" s="92"/>
    </row>
    <row r="44" spans="1:13" x14ac:dyDescent="0.25">
      <c r="A44" s="22"/>
      <c r="B44" s="22"/>
      <c r="C44" s="20"/>
      <c r="D44" s="20"/>
      <c r="E44" s="12" t="str">
        <f>IF(C44&gt;0,LOOKUP(C44,'Lista de Escolas'!$C$2:$C$181,'Lista de Escolas'!$E$2:$E$181),"")</f>
        <v/>
      </c>
      <c r="F44" s="12"/>
      <c r="G44" s="12"/>
      <c r="H44" s="12"/>
      <c r="I44" s="12"/>
      <c r="J44" s="20"/>
      <c r="K44" s="21"/>
      <c r="L44" s="23"/>
      <c r="M44" s="92"/>
    </row>
    <row r="45" spans="1:13" x14ac:dyDescent="0.25">
      <c r="A45" s="22"/>
      <c r="B45" s="22"/>
      <c r="C45" s="23"/>
      <c r="D45" s="23"/>
      <c r="E45" s="12" t="str">
        <f>IF(C45&gt;0,LOOKUP(C45,'Lista de Escolas'!$C$2:$C$181,'Lista de Escolas'!$E$2:$E$181),"")</f>
        <v/>
      </c>
      <c r="F45" s="12"/>
      <c r="G45" s="12"/>
      <c r="H45" s="12"/>
      <c r="I45" s="12"/>
      <c r="J45" s="23"/>
      <c r="K45" s="24"/>
      <c r="L45" s="23"/>
      <c r="M45" s="92"/>
    </row>
    <row r="46" spans="1:13" x14ac:dyDescent="0.25">
      <c r="A46" s="22"/>
      <c r="B46" s="22"/>
      <c r="C46" s="20"/>
      <c r="D46" s="20"/>
      <c r="E46" s="12" t="str">
        <f>IF(C46&gt;0,LOOKUP(C46,'Lista de Escolas'!$C$2:$C$181,'Lista de Escolas'!$E$2:$E$181),"")</f>
        <v/>
      </c>
      <c r="F46" s="12"/>
      <c r="G46" s="12"/>
      <c r="H46" s="12"/>
      <c r="I46" s="12"/>
      <c r="J46" s="20"/>
      <c r="K46" s="21"/>
      <c r="L46" s="23"/>
      <c r="M46" s="92"/>
    </row>
    <row r="47" spans="1:13" x14ac:dyDescent="0.25">
      <c r="A47" s="22"/>
      <c r="B47" s="22"/>
      <c r="C47" s="23"/>
      <c r="D47" s="23"/>
      <c r="E47" s="12" t="str">
        <f>IF(C47&gt;0,LOOKUP(C47,'Lista de Escolas'!$C$2:$C$181,'Lista de Escolas'!$E$2:$E$181),"")</f>
        <v/>
      </c>
      <c r="F47" s="12"/>
      <c r="G47" s="12"/>
      <c r="H47" s="12"/>
      <c r="I47" s="12"/>
      <c r="J47" s="23"/>
      <c r="K47" s="24"/>
      <c r="L47" s="23"/>
      <c r="M47" s="92"/>
    </row>
    <row r="48" spans="1:13" x14ac:dyDescent="0.25">
      <c r="A48" s="23"/>
      <c r="B48" s="22"/>
      <c r="C48" s="20"/>
      <c r="D48" s="20"/>
      <c r="E48" s="12" t="str">
        <f>IF(C48&gt;0,LOOKUP(C48,'Lista de Escolas'!$C$2:$C$181,'Lista de Escolas'!$E$2:$E$181),"")</f>
        <v/>
      </c>
      <c r="F48" s="12"/>
      <c r="G48" s="12"/>
      <c r="H48" s="12"/>
      <c r="I48" s="12"/>
      <c r="J48" s="20"/>
      <c r="K48" s="21"/>
      <c r="L48" s="20"/>
      <c r="M48" s="92"/>
    </row>
    <row r="49" spans="1:13" x14ac:dyDescent="0.25">
      <c r="A49" s="22"/>
      <c r="B49" s="22"/>
      <c r="C49" s="20"/>
      <c r="D49" s="20"/>
      <c r="E49" s="12" t="str">
        <f>IF(C49&gt;0,LOOKUP(C49,'Lista de Escolas'!$C$2:$C$181,'Lista de Escolas'!$E$2:$E$181),"")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0"/>
      <c r="D50" s="20"/>
      <c r="E50" s="12" t="str">
        <f>IF(C50&gt;0,LOOKUP(C50,'Lista de Escolas'!$C$2:$C$181,'Lista de Escolas'!$E$2:$E$181),"")</f>
        <v/>
      </c>
      <c r="F50" s="12"/>
      <c r="G50" s="12"/>
      <c r="H50" s="12"/>
      <c r="I50" s="12"/>
      <c r="J50" s="20"/>
      <c r="K50" s="21"/>
      <c r="L50" s="20"/>
      <c r="M50" s="92"/>
    </row>
    <row r="51" spans="1:13" x14ac:dyDescent="0.25">
      <c r="A51" s="23"/>
      <c r="B51" s="22"/>
      <c r="C51" s="23"/>
      <c r="D51" s="20"/>
      <c r="E51" s="12" t="str">
        <f>IF(C51&gt;0,LOOKUP(C51,'Lista de Escolas'!$C$2:$C$181,'Lista de Escolas'!$E$2:$E$181),"")</f>
        <v/>
      </c>
      <c r="F51" s="12"/>
      <c r="G51" s="12"/>
      <c r="H51" s="12"/>
      <c r="I51" s="12"/>
      <c r="J51" s="23"/>
      <c r="K51" s="24"/>
      <c r="L51" s="23"/>
      <c r="M51" s="92"/>
    </row>
    <row r="52" spans="1:13" x14ac:dyDescent="0.25">
      <c r="A52" s="23"/>
      <c r="B52" s="22"/>
      <c r="C52" s="20"/>
      <c r="D52" s="20"/>
      <c r="E52" s="12" t="str">
        <f>IF(C52&gt;0,LOOKUP(C52,'Lista de Escolas'!$C$2:$C$181,'Lista de Escolas'!$E$2:$E$181),"")</f>
        <v/>
      </c>
      <c r="F52" s="12"/>
      <c r="G52" s="12"/>
      <c r="H52" s="12"/>
      <c r="I52" s="12"/>
      <c r="J52" s="20"/>
      <c r="K52" s="21"/>
      <c r="L52" s="20"/>
      <c r="M52" s="92"/>
    </row>
    <row r="53" spans="1:13" x14ac:dyDescent="0.25">
      <c r="A53" s="22"/>
      <c r="B53" s="22"/>
      <c r="C53" s="20"/>
      <c r="D53" s="20"/>
      <c r="E53" s="12" t="str">
        <f>IF(C53&gt;0,LOOKUP(C53,'Lista de Escolas'!$C$3:$C$178,'Lista de Escolas'!$E$3:$E$178),"")</f>
        <v/>
      </c>
      <c r="F53" s="12"/>
      <c r="G53" s="12"/>
      <c r="H53" s="12"/>
      <c r="I53" s="12"/>
      <c r="J53" s="20"/>
      <c r="K53" s="21"/>
      <c r="L53" s="20"/>
      <c r="M53" s="92"/>
    </row>
    <row r="54" spans="1:13" x14ac:dyDescent="0.25">
      <c r="A54" s="22"/>
      <c r="B54" s="22"/>
      <c r="C54" s="20"/>
      <c r="D54" s="20"/>
      <c r="E54" s="12" t="str">
        <f>IF(C54&gt;0,LOOKUP(C54,'Lista de Escolas'!$C$3:$C$178,'Lista de Escolas'!$E$3:$E$178),"")</f>
        <v/>
      </c>
      <c r="F54" s="12"/>
      <c r="G54" s="12"/>
      <c r="H54" s="12"/>
      <c r="I54" s="12"/>
      <c r="J54" s="20"/>
      <c r="K54" s="21"/>
      <c r="L54" s="20"/>
      <c r="M54" s="92"/>
    </row>
    <row r="55" spans="1:13" x14ac:dyDescent="0.25">
      <c r="A55" s="22"/>
      <c r="B55" s="22"/>
      <c r="C55" s="20"/>
      <c r="D55" s="20"/>
      <c r="E55" s="12" t="str">
        <f>IF(C55&gt;0,LOOKUP(C55,'Lista de Escolas'!$C$3:$C$178,'Lista de Escolas'!$E$3:$E$178),"")</f>
        <v/>
      </c>
      <c r="F55" s="12"/>
      <c r="G55" s="12"/>
      <c r="H55" s="12"/>
      <c r="I55" s="12"/>
      <c r="J55" s="20"/>
      <c r="K55" s="21"/>
      <c r="L55" s="23"/>
      <c r="M55" s="92"/>
    </row>
    <row r="56" spans="1:13" x14ac:dyDescent="0.25">
      <c r="C56" s="20"/>
      <c r="D56" s="20"/>
      <c r="E56" s="12" t="str">
        <f>IF(C56&gt;0,LOOKUP(C56,'Lista de Escolas'!$C$3:$C$178,'Lista de Escolas'!$E$3:$E$178),"")</f>
        <v/>
      </c>
      <c r="F56" s="12"/>
      <c r="G56" s="12"/>
      <c r="H56" s="12"/>
      <c r="I56" s="12"/>
      <c r="J56" s="20"/>
      <c r="K56" s="21"/>
      <c r="L56" s="20"/>
      <c r="M56" s="92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Escolas'!$C$3:$C$178,'Lista de Escolas'!$E$3:$E$178),"")</f>
        <v/>
      </c>
      <c r="F58" s="12"/>
      <c r="G58" s="12"/>
      <c r="H58" s="12"/>
      <c r="I58" s="12"/>
    </row>
    <row r="59" spans="1:13" x14ac:dyDescent="0.25">
      <c r="E59" s="12" t="str">
        <f>IF(C59&gt;0,LOOKUP(C59,'Lista de Escolas'!$C$3:$C$178,'Lista de Escolas'!$E$3:$E$178),"")</f>
        <v/>
      </c>
      <c r="F59" s="12"/>
      <c r="G59" s="12"/>
      <c r="H59" s="12"/>
      <c r="I59" s="12"/>
    </row>
    <row r="60" spans="1:13" x14ac:dyDescent="0.25">
      <c r="E60" s="12" t="str">
        <f>IF(C60&gt;0,LOOKUP(C60,'Lista de Escolas'!$C$3:$C$178,'Lista de Escolas'!$E$3:$E$178),"")</f>
        <v/>
      </c>
      <c r="F60" s="12"/>
      <c r="G60" s="12"/>
      <c r="H60" s="12"/>
      <c r="I60" s="12"/>
    </row>
    <row r="61" spans="1:13" x14ac:dyDescent="0.25">
      <c r="E61" s="12" t="str">
        <f>IF(C61&gt;0,LOOKUP(C61,'Lista de Escolas'!$C$3:$C$178,'Lista de Escolas'!$E$3:$E$178),"")</f>
        <v/>
      </c>
      <c r="F61" s="12"/>
      <c r="G61" s="12"/>
      <c r="H61" s="12"/>
      <c r="I61" s="12"/>
    </row>
    <row r="62" spans="1:13" x14ac:dyDescent="0.25">
      <c r="E62" s="12" t="str">
        <f>IF(C62&gt;0,LOOKUP(C62,'Lista de Escolas'!$C$3:$C$178,'Lista de Escolas'!$E$3:$E$178),"")</f>
        <v/>
      </c>
      <c r="F62" s="12"/>
      <c r="G62" s="12"/>
      <c r="H62" s="12"/>
      <c r="I62" s="12"/>
    </row>
    <row r="63" spans="1:13" x14ac:dyDescent="0.25">
      <c r="E63" s="12" t="str">
        <f>IF(C63&gt;0,LOOKUP(C63,'Lista de Escolas'!$C$3:$C$178,'Lista de Escolas'!$E$3:$E$178),"")</f>
        <v/>
      </c>
      <c r="F63" s="12"/>
      <c r="G63" s="12"/>
      <c r="H63" s="12"/>
      <c r="I63" s="12"/>
    </row>
    <row r="65" spans="2:10" x14ac:dyDescent="0.25">
      <c r="B65" s="12" t="s">
        <v>31</v>
      </c>
      <c r="E65" s="1">
        <f>COUNTIFS(E4:E55,"=Escolas Rainha Santa Isabel")</f>
        <v>15</v>
      </c>
      <c r="J65" s="1" t="s">
        <v>32</v>
      </c>
    </row>
    <row r="66" spans="2:10" x14ac:dyDescent="0.25">
      <c r="B66" s="12">
        <f>COUNT(B5:B64)</f>
        <v>39</v>
      </c>
      <c r="E66" s="1">
        <f>COUNTIFS(E4:E55,"=Escolas Dr. Correia Mateus")</f>
        <v>0</v>
      </c>
      <c r="J66" s="1" t="s">
        <v>33</v>
      </c>
    </row>
    <row r="67" spans="2:10" x14ac:dyDescent="0.25">
      <c r="E67" s="1">
        <f>COUNTIFS(E4:E55,"=Escolas da Caranguejeira - Santa Catarina da Serra")</f>
        <v>4</v>
      </c>
      <c r="J67" s="1" t="s">
        <v>67</v>
      </c>
    </row>
    <row r="68" spans="2:10" x14ac:dyDescent="0.25">
      <c r="E68" s="1">
        <f>COUNTIFS(E4:E55,"=Escolas de Colmeias")</f>
        <v>0</v>
      </c>
      <c r="J68" s="1" t="s">
        <v>35</v>
      </c>
    </row>
    <row r="69" spans="2:10" x14ac:dyDescent="0.25">
      <c r="E69" s="1">
        <f>COUNTIFS(E4:E55,"=Escolas de Marrazes")</f>
        <v>0</v>
      </c>
      <c r="J69" s="1" t="s">
        <v>36</v>
      </c>
    </row>
    <row r="70" spans="2:10" x14ac:dyDescent="0.25">
      <c r="E70" s="1">
        <f>COUNTIFS(E4:E55,"=Escolas Domingos Sequeira")</f>
        <v>7</v>
      </c>
      <c r="J70" s="1" t="s">
        <v>37</v>
      </c>
    </row>
    <row r="71" spans="2:10" x14ac:dyDescent="0.25">
      <c r="E71" s="1">
        <f>COUNTIFS(E4:E55,"=Escolas D. Dinis")</f>
        <v>6</v>
      </c>
      <c r="J71" s="1" t="s">
        <v>38</v>
      </c>
    </row>
    <row r="72" spans="2:10" x14ac:dyDescent="0.25">
      <c r="E72" s="1">
        <f>COUNTIFS(E6:E56,"=Henrique Sommer")</f>
        <v>5</v>
      </c>
      <c r="J72" s="1" t="s">
        <v>68</v>
      </c>
    </row>
    <row r="73" spans="2:10" x14ac:dyDescent="0.25">
      <c r="E73" s="1">
        <f>SUM(E65:E72)</f>
        <v>37</v>
      </c>
      <c r="J73" s="1" t="s">
        <v>69</v>
      </c>
    </row>
    <row r="79" spans="2:10" x14ac:dyDescent="0.25">
      <c r="F79" s="12" t="s">
        <v>605</v>
      </c>
      <c r="G79" s="12" t="s">
        <v>606</v>
      </c>
      <c r="H79" s="12" t="s">
        <v>607</v>
      </c>
      <c r="I79" s="12" t="s">
        <v>608</v>
      </c>
      <c r="J79" s="1" t="s">
        <v>609</v>
      </c>
    </row>
    <row r="80" spans="2:10" x14ac:dyDescent="0.25">
      <c r="F80" s="1">
        <f>SUM(F1:F60)</f>
        <v>25</v>
      </c>
      <c r="G80" s="1">
        <f>SUM(G1:G75)</f>
        <v>4</v>
      </c>
      <c r="H80" s="1">
        <f t="shared" ref="H80:J80" si="0">SUM(H1:H75)</f>
        <v>15</v>
      </c>
      <c r="I80" s="1">
        <f t="shared" si="0"/>
        <v>2</v>
      </c>
      <c r="J80" s="1">
        <f t="shared" si="0"/>
        <v>1</v>
      </c>
    </row>
  </sheetData>
  <customSheetViews>
    <customSheetView guid="{7E850ADC-7020-4CE4-9656-1D37A8554340}" hiddenColumns="1">
      <selection activeCell="E24" sqref="E24"/>
      <pageMargins left="0" right="0" top="0" bottom="0" header="0" footer="0"/>
      <pageSetup paperSize="9" orientation="portrait" horizontalDpi="1200" verticalDpi="1200"/>
    </customSheetView>
    <customSheetView guid="{6C6D19B4-0AAB-4D39-9585-2246A62E9472}" hiddenColumns="1">
      <selection activeCell="E24" sqref="E24"/>
      <pageMargins left="0" right="0" top="0" bottom="0" header="0" footer="0"/>
      <pageSetup paperSize="9" orientation="portrait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0"/>
  <sheetViews>
    <sheetView zoomScale="96" zoomScaleNormal="96" workbookViewId="0">
      <selection activeCell="K17" sqref="K17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7" customWidth="1"/>
    <col min="4" max="4" width="12.140625" style="1" customWidth="1"/>
    <col min="5" max="5" width="44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13.28515625" style="17" customWidth="1"/>
    <col min="11" max="11" width="107.4257812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70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8" t="s">
        <v>604</v>
      </c>
      <c r="K4" s="8" t="s">
        <v>6</v>
      </c>
      <c r="L4" s="8" t="s">
        <v>7</v>
      </c>
    </row>
    <row r="5" spans="1:13" s="4" customFormat="1" ht="18" customHeight="1" x14ac:dyDescent="0.2">
      <c r="A5" s="11"/>
      <c r="B5" s="25">
        <v>46113</v>
      </c>
      <c r="C5" s="12" t="s">
        <v>12</v>
      </c>
      <c r="D5" s="12"/>
      <c r="E5" s="12" t="str">
        <f>IF(C5&gt;0,LOOKUP(C5,'Lista de Escolas'!$C$2:$C$181,'Lista de Escolas'!$E$2:$E$181),"")</f>
        <v>Escolas D. Dinis</v>
      </c>
      <c r="F5" s="12"/>
      <c r="G5" s="12"/>
      <c r="H5" s="12">
        <v>1</v>
      </c>
      <c r="I5" s="12"/>
      <c r="J5" s="12"/>
      <c r="K5" s="90" t="s">
        <v>669</v>
      </c>
      <c r="L5" s="12"/>
    </row>
    <row r="6" spans="1:13" s="4" customFormat="1" ht="18" customHeight="1" x14ac:dyDescent="0.2">
      <c r="A6" s="11"/>
      <c r="B6" s="25">
        <v>46113</v>
      </c>
      <c r="C6" s="12" t="s">
        <v>135</v>
      </c>
      <c r="D6" s="12"/>
      <c r="E6" s="12" t="str">
        <f>IF(C6&gt;0,LOOKUP(C6,'Lista de Escolas'!$C$2:$C$181,'Lista de Escolas'!$E$2:$E$181),"")</f>
        <v>Escolas Rainha Santa Isabel</v>
      </c>
      <c r="F6" s="12">
        <v>1</v>
      </c>
      <c r="G6" s="12"/>
      <c r="H6" s="12"/>
      <c r="I6" s="12"/>
      <c r="J6" s="12"/>
      <c r="K6" s="90" t="s">
        <v>670</v>
      </c>
      <c r="L6" s="12"/>
    </row>
    <row r="7" spans="1:13" s="4" customFormat="1" ht="18" customHeight="1" x14ac:dyDescent="0.2">
      <c r="A7" s="11"/>
      <c r="B7" s="25">
        <v>46113</v>
      </c>
      <c r="C7" s="12" t="s">
        <v>138</v>
      </c>
      <c r="D7" s="3"/>
      <c r="E7" s="12" t="str">
        <f>IF(C7&gt;0,LOOKUP(C7,'Lista de Escolas'!$C$2:$C$181,'Lista de Escolas'!$E$2:$E$181),"")</f>
        <v>Escolas D. Dinis</v>
      </c>
      <c r="F7" s="12"/>
      <c r="G7" s="12"/>
      <c r="H7" s="12">
        <v>1</v>
      </c>
      <c r="I7" s="12"/>
      <c r="J7" s="12"/>
      <c r="K7" s="4" t="s">
        <v>671</v>
      </c>
      <c r="L7" s="3"/>
    </row>
    <row r="8" spans="1:13" s="4" customFormat="1" ht="18" customHeight="1" x14ac:dyDescent="0.2">
      <c r="A8" s="11"/>
      <c r="B8" s="25">
        <v>46118</v>
      </c>
      <c r="C8" s="12" t="s">
        <v>250</v>
      </c>
      <c r="D8" s="3"/>
      <c r="E8" s="12" t="str">
        <f>IF(C8&gt;0,LOOKUP(C8,'Lista de Escolas'!$C$2:$C$181,'Lista de Escolas'!$E$2:$E$181),"")</f>
        <v>Escolas Rainha Santa Isabel</v>
      </c>
      <c r="F8" s="12"/>
      <c r="G8" s="12"/>
      <c r="H8" s="12">
        <v>1</v>
      </c>
      <c r="I8" s="12"/>
      <c r="J8" s="12"/>
      <c r="K8" s="4" t="s">
        <v>672</v>
      </c>
      <c r="L8" s="3"/>
    </row>
    <row r="9" spans="1:13" s="4" customFormat="1" ht="18" customHeight="1" x14ac:dyDescent="0.2">
      <c r="A9" s="11"/>
      <c r="B9" s="25">
        <v>46118</v>
      </c>
      <c r="C9" s="12" t="s">
        <v>278</v>
      </c>
      <c r="D9" s="12"/>
      <c r="E9" s="12" t="str">
        <f>IF(C9&gt;0,LOOKUP(C9,'Lista de Escolas'!$C$2:$C$181,'Lista de Escolas'!$E$2:$E$181),"")</f>
        <v>Escolas Rainha Santa Isabel</v>
      </c>
      <c r="F9" s="12"/>
      <c r="G9" s="12"/>
      <c r="H9" s="12">
        <v>1</v>
      </c>
      <c r="I9" s="12"/>
      <c r="J9" s="12"/>
      <c r="K9" s="4" t="s">
        <v>672</v>
      </c>
      <c r="L9" s="12"/>
    </row>
    <row r="10" spans="1:13" s="4" customFormat="1" ht="18" customHeight="1" x14ac:dyDescent="0.2">
      <c r="A10" s="11"/>
      <c r="B10" s="25">
        <v>46121</v>
      </c>
      <c r="C10" s="12" t="s">
        <v>673</v>
      </c>
      <c r="D10" s="12"/>
      <c r="E10" s="12" t="str">
        <f>IF(C10&gt;0,LOOKUP(C10,'Lista de Escolas'!$C$2:$C$181,'Lista de Escolas'!$E$2:$E$181),"")</f>
        <v>Escolas Rainha Santa Isabel</v>
      </c>
      <c r="F10" s="12"/>
      <c r="G10" s="12"/>
      <c r="H10" s="12">
        <v>1</v>
      </c>
      <c r="I10" s="12"/>
      <c r="J10" s="12"/>
      <c r="K10" s="4" t="s">
        <v>675</v>
      </c>
      <c r="L10" s="12"/>
    </row>
    <row r="11" spans="1:13" s="4" customFormat="1" ht="18" customHeight="1" x14ac:dyDescent="0.2">
      <c r="A11" s="11"/>
      <c r="B11" s="25">
        <v>46125</v>
      </c>
      <c r="C11" s="108" t="s">
        <v>291</v>
      </c>
      <c r="D11" s="12"/>
      <c r="E11" s="12" t="str">
        <f>IF(C11&gt;0,LOOKUP(C11,'Lista de Escolas'!$C$2:$C$181,'Lista de Escolas'!$E$2:$E$181),"")</f>
        <v>Henrique Sommer</v>
      </c>
      <c r="F11" s="12"/>
      <c r="G11" s="12"/>
      <c r="H11" s="12">
        <v>1</v>
      </c>
      <c r="I11" s="12"/>
      <c r="J11" s="12"/>
      <c r="K11" s="4" t="s">
        <v>674</v>
      </c>
      <c r="L11" s="12"/>
    </row>
    <row r="12" spans="1:13" s="4" customFormat="1" ht="18" customHeight="1" x14ac:dyDescent="0.2">
      <c r="A12" s="11"/>
      <c r="B12" s="25">
        <v>46125</v>
      </c>
      <c r="C12" s="108" t="s">
        <v>20</v>
      </c>
      <c r="D12" s="12"/>
      <c r="E12" s="12" t="str">
        <f>IF(C12&gt;0,LOOKUP(C12,'Lista de Escolas'!$C$2:$C$181,'Lista de Escolas'!$E$2:$E$181),"")</f>
        <v>Escolas Rainha Santa Isabel</v>
      </c>
      <c r="F12" s="12"/>
      <c r="G12" s="12"/>
      <c r="H12" s="12">
        <v>1</v>
      </c>
      <c r="I12" s="12"/>
      <c r="J12" s="12"/>
      <c r="K12" s="4" t="s">
        <v>676</v>
      </c>
      <c r="L12" s="12"/>
    </row>
    <row r="13" spans="1:13" s="4" customFormat="1" ht="18" customHeight="1" x14ac:dyDescent="0.2">
      <c r="A13" s="11"/>
      <c r="B13" s="25">
        <v>46125</v>
      </c>
      <c r="C13" s="12" t="s">
        <v>127</v>
      </c>
      <c r="E13" s="12" t="str">
        <f>IF(C13&gt;0,LOOKUP(C13,'Lista de Escolas'!$C$2:$C$181,'Lista de Escolas'!$E$2:$E$181),"")</f>
        <v>Escolas Rainha Santa Isabel</v>
      </c>
      <c r="F13" s="12"/>
      <c r="G13" s="12"/>
      <c r="H13" s="12">
        <v>1</v>
      </c>
      <c r="I13" s="12"/>
      <c r="J13" s="12"/>
      <c r="K13" s="4" t="s">
        <v>677</v>
      </c>
      <c r="L13" s="12"/>
    </row>
    <row r="14" spans="1:13" s="4" customFormat="1" ht="18" customHeight="1" x14ac:dyDescent="0.2">
      <c r="A14" s="22"/>
      <c r="B14" s="25">
        <v>46126</v>
      </c>
      <c r="C14" s="12" t="s">
        <v>678</v>
      </c>
      <c r="E14" s="12" t="str">
        <f>IF(C14&gt;0,LOOKUP(C14,'Lista de Escolas'!$C$2:$C$181,'Lista de Escolas'!$E$2:$E$181),"")</f>
        <v>Henrique Sommer</v>
      </c>
      <c r="F14" s="12"/>
      <c r="G14" s="12">
        <v>1</v>
      </c>
      <c r="H14" s="12">
        <v>1</v>
      </c>
      <c r="I14" s="12"/>
      <c r="J14" s="12"/>
      <c r="K14" s="4" t="s">
        <v>679</v>
      </c>
      <c r="L14" s="12"/>
    </row>
    <row r="15" spans="1:13" x14ac:dyDescent="0.25">
      <c r="A15" s="22"/>
      <c r="B15" s="19">
        <v>46126</v>
      </c>
      <c r="C15" s="12" t="s">
        <v>12</v>
      </c>
      <c r="D15"/>
      <c r="E15" s="12" t="str">
        <f>IF(C15&gt;0,LOOKUP(C15,'Lista de Escolas'!$C$2:$C$181,'Lista de Escolas'!$E$2:$E$181),"")</f>
        <v>Escolas D. Dinis</v>
      </c>
      <c r="F15" s="12"/>
      <c r="G15" s="12">
        <v>1</v>
      </c>
      <c r="H15" s="12"/>
      <c r="I15" s="12"/>
      <c r="K15" s="4" t="s">
        <v>680</v>
      </c>
      <c r="L15" s="3"/>
      <c r="M15" s="3"/>
    </row>
    <row r="16" spans="1:13" x14ac:dyDescent="0.25">
      <c r="A16" s="22"/>
      <c r="B16" s="25">
        <v>46126</v>
      </c>
      <c r="C16" s="12" t="s">
        <v>127</v>
      </c>
      <c r="D16" s="3"/>
      <c r="E16" s="12" t="str">
        <f>IF(C16&gt;0,LOOKUP(C16,'Lista de Escolas'!$C$2:$C$181,'Lista de Escolas'!$E$2:$E$181),"")</f>
        <v>Escolas Rainha Santa Isabel</v>
      </c>
      <c r="F16" s="12">
        <v>1</v>
      </c>
      <c r="G16" s="12"/>
      <c r="H16" s="12"/>
      <c r="I16" s="12"/>
      <c r="J16" s="12"/>
      <c r="K16" s="91" t="s">
        <v>681</v>
      </c>
      <c r="L16" s="3"/>
    </row>
    <row r="17" spans="1:12" s="13" customFormat="1" ht="18" customHeight="1" x14ac:dyDescent="0.2">
      <c r="A17" s="22"/>
      <c r="B17" s="25">
        <v>46134</v>
      </c>
      <c r="C17" s="12" t="s">
        <v>278</v>
      </c>
      <c r="D17" s="3"/>
      <c r="E17" s="12" t="str">
        <f>IF(C17&gt;0,LOOKUP(C17,'Lista de Escolas'!$C$2:$C$181,'Lista de Escolas'!$E$2:$E$181),"")</f>
        <v>Escolas Rainha Santa Isabel</v>
      </c>
      <c r="F17" s="12"/>
      <c r="G17" s="12"/>
      <c r="H17" s="12">
        <v>1</v>
      </c>
      <c r="I17" s="12"/>
      <c r="J17" s="12"/>
      <c r="K17" s="4" t="s">
        <v>682</v>
      </c>
      <c r="L17" s="12"/>
    </row>
    <row r="18" spans="1:12" ht="18" customHeight="1" x14ac:dyDescent="0.25">
      <c r="A18" s="22"/>
      <c r="B18" s="25">
        <v>46135</v>
      </c>
      <c r="C18" s="12" t="s">
        <v>139</v>
      </c>
      <c r="D18" s="12"/>
      <c r="E18" s="12" t="str">
        <f>IF(C18&gt;0,LOOKUP(C18,'Lista de Escolas'!$C$2:$C$181,'Lista de Escolas'!$E$2:$E$181),"")</f>
        <v>Escolas da Caranguejeira - Santa Catarina da Serra</v>
      </c>
      <c r="F18" s="12"/>
      <c r="G18" s="12">
        <v>1</v>
      </c>
      <c r="H18" s="12"/>
      <c r="I18" s="12"/>
      <c r="J18" s="12"/>
      <c r="K18" s="91" t="s">
        <v>683</v>
      </c>
      <c r="L18" s="3"/>
    </row>
    <row r="19" spans="1:12" ht="18" customHeight="1" x14ac:dyDescent="0.25">
      <c r="A19" s="22"/>
      <c r="B19" s="25">
        <v>46135</v>
      </c>
      <c r="C19" s="12" t="s">
        <v>138</v>
      </c>
      <c r="D19" s="3"/>
      <c r="E19" s="12" t="str">
        <f>IF(C19&gt;0,LOOKUP(C19,'Lista de Escolas'!$C$2:$C$181,'Lista de Escolas'!$E$2:$E$181),"")</f>
        <v>Escolas D. Dinis</v>
      </c>
      <c r="F19" s="12">
        <v>1</v>
      </c>
      <c r="G19" s="12"/>
      <c r="H19" s="12"/>
      <c r="I19" s="12"/>
      <c r="J19" s="12"/>
      <c r="K19" s="4" t="s">
        <v>684</v>
      </c>
      <c r="L19" s="3"/>
    </row>
    <row r="20" spans="1:12" ht="18" customHeight="1" x14ac:dyDescent="0.25">
      <c r="A20" s="22"/>
      <c r="B20" s="25">
        <v>46136</v>
      </c>
      <c r="C20" s="12" t="s">
        <v>685</v>
      </c>
      <c r="D20" s="3"/>
      <c r="E20" s="12" t="str">
        <f>IF(C20&gt;0,LOOKUP(C20,'Lista de Escolas'!$C$2:$C$181,'Lista de Escolas'!$E$2:$E$181),"")</f>
        <v>Escolas Rainha Santa Isabel</v>
      </c>
      <c r="F20" s="12">
        <v>1</v>
      </c>
      <c r="G20" s="12"/>
      <c r="H20" s="12"/>
      <c r="I20" s="12"/>
      <c r="J20" s="12"/>
      <c r="K20" s="4" t="s">
        <v>686</v>
      </c>
      <c r="L20" s="3"/>
    </row>
    <row r="21" spans="1:12" ht="18" customHeight="1" x14ac:dyDescent="0.25">
      <c r="A21" s="22"/>
      <c r="B21" s="25">
        <v>46139</v>
      </c>
      <c r="C21" s="12" t="s">
        <v>685</v>
      </c>
      <c r="D21" s="12"/>
      <c r="E21" s="12" t="str">
        <f>IF(C21&gt;0,LOOKUP(C21,'Lista de Escolas'!$C$2:$C$181,'Lista de Escolas'!$E$2:$E$181),"")</f>
        <v>Escolas Rainha Santa Isabel</v>
      </c>
      <c r="F21" s="12">
        <v>1</v>
      </c>
      <c r="G21" s="12"/>
      <c r="H21" s="12"/>
      <c r="I21" s="12"/>
      <c r="J21" s="12"/>
      <c r="K21" s="91" t="s">
        <v>563</v>
      </c>
      <c r="L21" s="12"/>
    </row>
    <row r="22" spans="1:12" ht="18" customHeight="1" x14ac:dyDescent="0.25">
      <c r="A22" s="22"/>
      <c r="B22" s="25">
        <v>46139</v>
      </c>
      <c r="C22" s="12" t="s">
        <v>57</v>
      </c>
      <c r="D22" s="3"/>
      <c r="E22" s="12" t="str">
        <f>IF(C22&gt;0,LOOKUP(C22,'Lista de Escolas'!$C$2:$C$181,'Lista de Escolas'!$E$2:$E$181),"")</f>
        <v>Escolas Domingos Sequeira</v>
      </c>
      <c r="F22" s="12">
        <v>1</v>
      </c>
      <c r="G22" s="12"/>
      <c r="H22" s="12"/>
      <c r="I22" s="12">
        <v>1</v>
      </c>
      <c r="J22" s="12"/>
      <c r="K22" s="4" t="s">
        <v>687</v>
      </c>
      <c r="L22" s="3"/>
    </row>
    <row r="23" spans="1:12" ht="18" customHeight="1" x14ac:dyDescent="0.25">
      <c r="A23" s="22"/>
      <c r="B23" s="22">
        <v>46139</v>
      </c>
      <c r="C23" s="23" t="s">
        <v>251</v>
      </c>
      <c r="D23" s="3"/>
      <c r="E23" s="12" t="str">
        <f>IF(C23&gt;0,LOOKUP(C23,'Lista de Escolas'!$C$2:$C$181,'Lista de Escolas'!$E$2:$E$181),"")</f>
        <v>Escolas Rainha Santa Isabel</v>
      </c>
      <c r="F23" s="12">
        <v>1</v>
      </c>
      <c r="G23" s="12"/>
      <c r="H23" s="12"/>
      <c r="I23" s="12"/>
      <c r="J23" s="12"/>
      <c r="K23" s="4" t="s">
        <v>688</v>
      </c>
      <c r="L23" s="3"/>
    </row>
    <row r="24" spans="1:12" ht="18" customHeight="1" x14ac:dyDescent="0.25">
      <c r="A24" s="23"/>
      <c r="B24" s="22">
        <v>46141</v>
      </c>
      <c r="C24" s="23" t="s">
        <v>24</v>
      </c>
      <c r="D24" s="3"/>
      <c r="E24" s="12" t="str">
        <f>IF(C24&gt;0,LOOKUP(C24,'Lista de Escolas'!$C$2:$C$181,'Lista de Escolas'!$E$2:$E$181),"")</f>
        <v>Escolas D. Dinis</v>
      </c>
      <c r="F24" s="12">
        <v>1</v>
      </c>
      <c r="G24" s="12"/>
      <c r="H24" s="12"/>
      <c r="I24" s="12"/>
      <c r="J24" s="12">
        <v>1</v>
      </c>
      <c r="K24" s="4" t="s">
        <v>689</v>
      </c>
      <c r="L24" s="3"/>
    </row>
    <row r="25" spans="1:12" ht="18" customHeight="1" x14ac:dyDescent="0.25">
      <c r="A25" s="23"/>
      <c r="B25" s="25">
        <v>46142</v>
      </c>
      <c r="C25" s="12" t="s">
        <v>46</v>
      </c>
      <c r="D25" s="3"/>
      <c r="E25" s="12" t="str">
        <f>IF(C25&gt;0,LOOKUP(C25,'Lista de Escolas'!$C$2:$C$181,'Lista de Escolas'!$E$2:$E$181),"")</f>
        <v>Escolas D. Dinis</v>
      </c>
      <c r="F25" s="12"/>
      <c r="G25" s="12"/>
      <c r="H25" s="12"/>
      <c r="I25" s="12">
        <v>1</v>
      </c>
      <c r="J25" s="12"/>
      <c r="K25" s="4" t="s">
        <v>690</v>
      </c>
      <c r="L25" s="3"/>
    </row>
    <row r="26" spans="1:12" ht="18" customHeight="1" x14ac:dyDescent="0.25">
      <c r="A26" s="23"/>
      <c r="B26" s="25"/>
      <c r="C26" s="12"/>
      <c r="D26" s="3"/>
      <c r="E26" s="12" t="str">
        <f>IF(C26&gt;0,LOOKUP(C26,'Lista de Escolas'!$C$2:$C$181,'Lista de Escolas'!$E$2:$E$181),"")</f>
        <v/>
      </c>
      <c r="F26" s="12"/>
      <c r="G26" s="12"/>
      <c r="H26" s="12"/>
      <c r="I26" s="12"/>
      <c r="J26" s="12"/>
      <c r="K26" s="4"/>
      <c r="L26" s="3"/>
    </row>
    <row r="27" spans="1:12" ht="18" customHeight="1" x14ac:dyDescent="0.25">
      <c r="A27" s="23"/>
      <c r="B27" s="25"/>
      <c r="C27" s="12"/>
      <c r="D27" s="3"/>
      <c r="E27" s="12" t="str">
        <f>IF(C27&gt;0,LOOKUP(C27,'Lista de Escolas'!$C$2:$C$181,'Lista de Escolas'!$E$2:$E$181),"")</f>
        <v/>
      </c>
      <c r="F27" s="12"/>
      <c r="G27" s="12"/>
      <c r="H27" s="12"/>
      <c r="I27" s="12"/>
      <c r="J27" s="12"/>
      <c r="K27" s="4"/>
      <c r="L27" s="3"/>
    </row>
    <row r="28" spans="1:12" ht="18" customHeight="1" x14ac:dyDescent="0.25">
      <c r="A28" s="22"/>
      <c r="B28" s="25"/>
      <c r="C28" s="12"/>
      <c r="D28" s="12"/>
      <c r="E28" s="12" t="str">
        <f>IF(C28&gt;0,LOOKUP(C28,'Lista de Escolas'!$C$2:$C$181,'Lista de Escolas'!$E$2:$E$181),"")</f>
        <v/>
      </c>
      <c r="F28" s="12"/>
      <c r="G28" s="12"/>
      <c r="H28" s="12"/>
      <c r="I28" s="12"/>
      <c r="J28" s="12"/>
      <c r="K28" s="91"/>
      <c r="L28" s="12"/>
    </row>
    <row r="29" spans="1:12" ht="18" customHeight="1" x14ac:dyDescent="0.25">
      <c r="A29" s="22"/>
      <c r="B29" s="25"/>
      <c r="C29" s="12"/>
      <c r="D29" s="12"/>
      <c r="E29" s="12" t="str">
        <f>IF(C29&gt;0,LOOKUP(C29,'Lista de Escolas'!$C$2:$C$181,'Lista de Escolas'!$E$2:$E$181),"")</f>
        <v/>
      </c>
      <c r="F29" s="12"/>
      <c r="G29" s="12"/>
      <c r="H29" s="12"/>
      <c r="I29" s="12"/>
      <c r="J29" s="12"/>
      <c r="K29" s="14"/>
      <c r="L29" s="12"/>
    </row>
    <row r="30" spans="1:12" ht="18" customHeight="1" x14ac:dyDescent="0.25">
      <c r="A30" s="22"/>
      <c r="B30" s="25"/>
      <c r="C30" s="12"/>
      <c r="D30" s="3"/>
      <c r="E30" s="12" t="str">
        <f>IF(C30&gt;0,LOOKUP(C30,'Lista de Escolas'!$C$2:$C$181,'Lista de Escolas'!$E$2:$E$181),"")</f>
        <v/>
      </c>
      <c r="F30" s="12"/>
      <c r="G30" s="12"/>
      <c r="H30" s="12"/>
      <c r="I30" s="12"/>
      <c r="J30" s="12"/>
      <c r="K30" s="5"/>
      <c r="L30" s="3"/>
    </row>
    <row r="31" spans="1:12" ht="18" customHeight="1" x14ac:dyDescent="0.25">
      <c r="A31" s="22"/>
      <c r="B31" s="25"/>
      <c r="C31" s="12"/>
      <c r="D31" s="12"/>
      <c r="E31" s="12" t="str">
        <f>IF(C31&gt;0,LOOKUP(C31,'Lista de Escolas'!$C$3:$C$181,'Lista de Escolas'!$E$3:$E$181),"")</f>
        <v/>
      </c>
      <c r="F31" s="12"/>
      <c r="G31" s="12"/>
      <c r="H31" s="12"/>
      <c r="I31" s="12"/>
      <c r="J31" s="12"/>
      <c r="K31" s="14"/>
      <c r="L31" s="12"/>
    </row>
    <row r="32" spans="1:12" ht="18" customHeight="1" x14ac:dyDescent="0.25">
      <c r="A32" s="22"/>
      <c r="B32" s="25"/>
      <c r="C32" s="12"/>
      <c r="D32" s="3"/>
      <c r="E32" s="12" t="str">
        <f>IF(C32&gt;0,LOOKUP(C32,'Lista de Escolas'!$C$3:$C$181,'Lista de Escolas'!$E$3:$E$181),"")</f>
        <v/>
      </c>
      <c r="F32" s="12"/>
      <c r="G32" s="12"/>
      <c r="H32" s="12"/>
      <c r="I32" s="12"/>
      <c r="J32" s="12"/>
      <c r="K32" s="5"/>
      <c r="L32" s="3"/>
    </row>
    <row r="33" spans="1:13" ht="18" customHeight="1" x14ac:dyDescent="0.25">
      <c r="A33" s="22"/>
      <c r="B33" s="25"/>
      <c r="C33" s="12"/>
      <c r="D33" s="12"/>
      <c r="E33" s="12" t="str">
        <f>IF(C33&gt;0,LOOKUP(C33,'Lista de Escolas'!$C$3:$C$181,'Lista de Escolas'!$E$3:$E$181),"")</f>
        <v/>
      </c>
      <c r="F33" s="12"/>
      <c r="G33" s="12"/>
      <c r="H33" s="12"/>
      <c r="I33" s="12"/>
      <c r="J33" s="12"/>
      <c r="K33" s="14"/>
      <c r="L33" s="3"/>
    </row>
    <row r="34" spans="1:13" ht="18" customHeight="1" x14ac:dyDescent="0.25">
      <c r="A34" s="23"/>
      <c r="B34" s="25"/>
      <c r="C34" s="12"/>
      <c r="D34" s="3"/>
      <c r="E34" s="12" t="str">
        <f>IF(C34&gt;0,LOOKUP(C34,'Lista de Escolas'!$C$3:$C$181,'Lista de Escolas'!$E$3:$E$181),"")</f>
        <v/>
      </c>
      <c r="F34" s="12"/>
      <c r="G34" s="12"/>
      <c r="H34" s="12"/>
      <c r="I34" s="12"/>
      <c r="J34" s="12"/>
      <c r="K34" s="5"/>
      <c r="L34" s="3"/>
    </row>
    <row r="35" spans="1:13" ht="18" customHeight="1" x14ac:dyDescent="0.25">
      <c r="A35" s="23"/>
      <c r="B35" s="25"/>
      <c r="E35" s="12" t="str">
        <f>IF(C35&gt;0,LOOKUP(C35,'Lista de Escolas'!$C$3:$C$181,'Lista de Escolas'!$E$3:$E$181),"")</f>
        <v/>
      </c>
      <c r="F35" s="12"/>
      <c r="G35" s="12"/>
      <c r="H35" s="12"/>
      <c r="I35" s="12"/>
    </row>
    <row r="36" spans="1:13" ht="18" customHeight="1" x14ac:dyDescent="0.25">
      <c r="A36" s="22"/>
      <c r="B36" s="25"/>
      <c r="C36" s="23"/>
      <c r="D36" s="23"/>
      <c r="E36" s="12" t="str">
        <f>IF(C36&gt;0,LOOKUP(C36,'Lista de Escolas'!$C$3:$C$181,'Lista de Escolas'!$E$3:$E$181),"")</f>
        <v/>
      </c>
      <c r="F36" s="12"/>
      <c r="G36" s="12"/>
      <c r="H36" s="12"/>
      <c r="I36" s="12"/>
      <c r="J36" s="23"/>
      <c r="K36" s="24"/>
      <c r="L36" s="23"/>
      <c r="M36" s="92"/>
    </row>
    <row r="37" spans="1:13" ht="18" customHeight="1" x14ac:dyDescent="0.25">
      <c r="A37" s="23"/>
      <c r="B37" s="25"/>
      <c r="C37" s="23"/>
      <c r="D37" s="20"/>
      <c r="E37" s="12" t="str">
        <f>IF(C37&gt;0,LOOKUP(C37,'Lista de Escolas'!$C$3:$C$181,'Lista de Escolas'!$E$3:$E$181),"")</f>
        <v/>
      </c>
      <c r="F37" s="12"/>
      <c r="G37" s="12"/>
      <c r="H37" s="12"/>
      <c r="I37" s="12"/>
      <c r="J37" s="23"/>
      <c r="K37" s="21"/>
      <c r="L37" s="20"/>
      <c r="M37" s="92"/>
    </row>
    <row r="38" spans="1:13" ht="18" customHeight="1" x14ac:dyDescent="0.25">
      <c r="A38" s="22"/>
      <c r="B38" s="25"/>
      <c r="C38" s="23"/>
      <c r="D38" s="20"/>
      <c r="E38" s="12" t="str">
        <f>IF(C38&gt;0,LOOKUP(C38,'Lista de Escolas'!$C$3:$C$181,'Lista de Escolas'!$E$3:$E$181),"")</f>
        <v/>
      </c>
      <c r="F38" s="12"/>
      <c r="G38" s="12"/>
      <c r="H38" s="12"/>
      <c r="I38" s="12"/>
      <c r="J38" s="23"/>
      <c r="K38" s="21"/>
      <c r="L38" s="23"/>
      <c r="M38" s="92"/>
    </row>
    <row r="39" spans="1:13" ht="18" customHeight="1" x14ac:dyDescent="0.25">
      <c r="A39" s="22"/>
      <c r="B39" s="25"/>
      <c r="C39" s="23"/>
      <c r="D39" s="23"/>
      <c r="E39" s="12" t="str">
        <f>IF(C39&gt;0,LOOKUP(C39,'Lista de Escolas'!$C$3:$C$181,'Lista de Escolas'!$E$3:$E$181),"")</f>
        <v/>
      </c>
      <c r="F39" s="12"/>
      <c r="G39" s="12"/>
      <c r="H39" s="12"/>
      <c r="I39" s="12"/>
      <c r="J39" s="23"/>
      <c r="K39" s="24"/>
      <c r="L39" s="23"/>
      <c r="M39" s="92"/>
    </row>
    <row r="40" spans="1:13" x14ac:dyDescent="0.25">
      <c r="A40" s="23"/>
      <c r="B40" s="25"/>
      <c r="C40" s="23"/>
      <c r="D40" s="23"/>
      <c r="E40" s="12" t="str">
        <f>IF(C40&gt;0,LOOKUP(C40,'Lista de Escolas'!$C$3:$C$181,'Lista de Escolas'!$E$3:$E$181),"")</f>
        <v/>
      </c>
      <c r="F40" s="12"/>
      <c r="G40" s="12"/>
      <c r="H40" s="12"/>
      <c r="I40" s="12"/>
      <c r="J40" s="23"/>
      <c r="K40" s="24"/>
      <c r="L40" s="23"/>
      <c r="M40" s="92"/>
    </row>
    <row r="41" spans="1:13" x14ac:dyDescent="0.25">
      <c r="A41" s="22"/>
      <c r="B41" s="25"/>
      <c r="C41" s="23"/>
      <c r="D41" s="20"/>
      <c r="E41" s="12" t="str">
        <f>IF(C41&gt;0,LOOKUP(C41,'Lista de Escolas'!$C$3:$C$181,'Lista de Escolas'!$E$3:$E$181),"")</f>
        <v/>
      </c>
      <c r="F41" s="12"/>
      <c r="G41" s="12"/>
      <c r="H41" s="12"/>
      <c r="I41" s="12"/>
      <c r="J41" s="23"/>
      <c r="K41" s="21"/>
      <c r="L41" s="23"/>
      <c r="M41" s="92"/>
    </row>
    <row r="42" spans="1:13" x14ac:dyDescent="0.25">
      <c r="A42" s="22"/>
      <c r="B42" s="25"/>
      <c r="C42" s="23"/>
      <c r="D42" s="23"/>
      <c r="E42" s="12" t="str">
        <f>IF(C42&gt;0,LOOKUP(C42,'Lista de Escolas'!$C$3:$C$181,'Lista de Escolas'!$E$3:$E$181),"")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2"/>
      <c r="B43" s="25"/>
      <c r="C43" s="23"/>
      <c r="D43" s="20"/>
      <c r="E43" s="12" t="str">
        <f>IF(C43&gt;0,LOOKUP(C43,'Lista de Escolas'!$C$3:$C$181,'Lista de Escolas'!$E$3:$E$181),"")</f>
        <v/>
      </c>
      <c r="F43" s="12"/>
      <c r="G43" s="12"/>
      <c r="H43" s="12"/>
      <c r="I43" s="12"/>
      <c r="J43" s="23"/>
      <c r="K43" s="21"/>
      <c r="L43" s="23"/>
      <c r="M43" s="92"/>
    </row>
    <row r="44" spans="1:13" x14ac:dyDescent="0.25">
      <c r="A44" s="22"/>
      <c r="B44" s="25"/>
      <c r="C44" s="23"/>
      <c r="D44" s="23"/>
      <c r="E44" s="12" t="str">
        <f>IF(C44&gt;0,LOOKUP(C44,'Lista de Escolas'!$C$3:$C$181,'Lista de Escolas'!$E$3:$E$181),"")</f>
        <v/>
      </c>
      <c r="F44" s="12"/>
      <c r="G44" s="12"/>
      <c r="H44" s="12"/>
      <c r="I44" s="12"/>
      <c r="J44" s="23"/>
      <c r="K44" s="24"/>
      <c r="L44" s="23"/>
      <c r="M44" s="92"/>
    </row>
    <row r="45" spans="1:13" x14ac:dyDescent="0.25">
      <c r="A45" s="23"/>
      <c r="B45" s="25"/>
      <c r="C45" s="23"/>
      <c r="D45" s="20"/>
      <c r="E45" s="12" t="str">
        <f>IF(C45&gt;0,LOOKUP(C45,'Lista de Escolas'!$C$3:$C$181,'Lista de Escolas'!$E$3:$E$181),"")</f>
        <v/>
      </c>
      <c r="F45" s="12"/>
      <c r="G45" s="12"/>
      <c r="H45" s="12"/>
      <c r="I45" s="12"/>
      <c r="J45" s="23"/>
      <c r="K45" s="21"/>
      <c r="L45" s="20"/>
      <c r="M45" s="92"/>
    </row>
    <row r="46" spans="1:13" x14ac:dyDescent="0.25">
      <c r="A46" s="22"/>
      <c r="B46" s="25"/>
      <c r="C46" s="23"/>
      <c r="D46" s="20"/>
      <c r="E46" s="12" t="str">
        <f>IF(C46&gt;0,LOOKUP(C46,'Lista de Escolas'!$C$3:$C$181,'Lista de Escolas'!$E$3:$E$181),"")</f>
        <v/>
      </c>
      <c r="F46" s="12"/>
      <c r="G46" s="12"/>
      <c r="H46" s="12"/>
      <c r="I46" s="12"/>
      <c r="J46" s="23"/>
      <c r="K46" s="21"/>
      <c r="L46" s="20"/>
      <c r="M46" s="92"/>
    </row>
    <row r="47" spans="1:13" x14ac:dyDescent="0.25">
      <c r="A47" s="22"/>
      <c r="B47" s="25"/>
      <c r="C47" s="23"/>
      <c r="D47" s="20"/>
      <c r="E47" s="12" t="str">
        <f>IF(C47&gt;0,LOOKUP(C47,'Lista de Escolas'!$C$3:$C$181,'Lista de Escolas'!$E$3:$E$181),"")</f>
        <v/>
      </c>
      <c r="F47" s="12"/>
      <c r="G47" s="12"/>
      <c r="H47" s="12"/>
      <c r="I47" s="12"/>
      <c r="J47" s="23"/>
      <c r="K47" s="21"/>
      <c r="L47" s="20"/>
      <c r="M47" s="92"/>
    </row>
    <row r="48" spans="1:13" x14ac:dyDescent="0.25">
      <c r="A48" s="23"/>
      <c r="B48" s="25"/>
      <c r="C48" s="23"/>
      <c r="D48" s="20"/>
      <c r="E48" s="12" t="str">
        <f>IF(C48&gt;0,LOOKUP(C48,'Lista de Escolas'!$C$3:$C$181,'Lista de Escolas'!$E$3:$E$181),"")</f>
        <v/>
      </c>
      <c r="F48" s="12"/>
      <c r="G48" s="12"/>
      <c r="H48" s="12"/>
      <c r="I48" s="12"/>
      <c r="J48" s="23"/>
      <c r="K48" s="24"/>
      <c r="L48" s="23"/>
      <c r="M48" s="92"/>
    </row>
    <row r="49" spans="1:13" x14ac:dyDescent="0.25">
      <c r="A49" s="23"/>
      <c r="B49" s="25"/>
      <c r="C49" s="23"/>
      <c r="D49" s="20"/>
      <c r="E49" s="12" t="str">
        <f>IF(C49&gt;0,LOOKUP(C49,'Lista de Escolas'!$C$3:$C$181,'Lista de Escolas'!$E$3:$E$181),"")</f>
        <v/>
      </c>
      <c r="F49" s="12"/>
      <c r="G49" s="12"/>
      <c r="H49" s="12"/>
      <c r="I49" s="12"/>
      <c r="J49" s="23"/>
      <c r="K49" s="21"/>
      <c r="L49" s="20"/>
      <c r="M49" s="92"/>
    </row>
    <row r="50" spans="1:13" x14ac:dyDescent="0.25">
      <c r="A50" s="22"/>
      <c r="B50" s="25"/>
      <c r="C50" s="23"/>
      <c r="D50" s="20"/>
      <c r="E50" s="12" t="str">
        <f>IF(C50&gt;0,LOOKUP(C50,'Lista de Escolas'!$C$3:$C$181,'Lista de Escolas'!$E$3:$E$181),"")</f>
        <v/>
      </c>
      <c r="F50" s="12"/>
      <c r="G50" s="12"/>
      <c r="H50" s="12"/>
      <c r="I50" s="12"/>
      <c r="J50" s="23"/>
      <c r="K50" s="21"/>
      <c r="L50" s="20"/>
      <c r="M50" s="92"/>
    </row>
    <row r="51" spans="1:13" x14ac:dyDescent="0.25">
      <c r="A51" s="22"/>
      <c r="B51" s="25"/>
      <c r="C51" s="23"/>
      <c r="D51" s="20"/>
      <c r="E51" s="12" t="str">
        <f>IF(C51&gt;0,LOOKUP(C51,'Lista de Escolas'!$C$3:$C$181,'Lista de Escolas'!$E$3:$E$181),"")</f>
        <v/>
      </c>
      <c r="F51" s="12"/>
      <c r="G51" s="12"/>
      <c r="H51" s="12"/>
      <c r="I51" s="12"/>
      <c r="J51" s="23"/>
      <c r="K51" s="21"/>
      <c r="L51" s="20"/>
      <c r="M51" s="92"/>
    </row>
    <row r="52" spans="1:13" x14ac:dyDescent="0.25">
      <c r="A52" s="22"/>
      <c r="B52" s="25"/>
      <c r="C52" s="23"/>
      <c r="D52" s="20"/>
      <c r="E52" s="12" t="str">
        <f>IF(C52&gt;0,LOOKUP(C52,'Lista de Escolas'!$C$3:$C$181,'Lista de Escolas'!$E$3:$E$181),"")</f>
        <v/>
      </c>
      <c r="F52" s="12"/>
      <c r="G52" s="12"/>
      <c r="H52" s="12"/>
      <c r="I52" s="12"/>
      <c r="J52" s="23"/>
      <c r="K52" s="21"/>
      <c r="L52" s="23"/>
      <c r="M52" s="92"/>
    </row>
    <row r="53" spans="1:13" x14ac:dyDescent="0.25">
      <c r="B53" s="25"/>
      <c r="C53" s="23"/>
      <c r="D53" s="20"/>
      <c r="E53" s="12" t="str">
        <f>IF(C53&gt;0,LOOKUP(C53,'Lista de Escolas'!$C$3:$C$181,'Lista de Escolas'!$E$3:$E$181),"")</f>
        <v/>
      </c>
      <c r="F53" s="12"/>
      <c r="G53" s="12"/>
      <c r="H53" s="12"/>
      <c r="I53" s="12"/>
      <c r="J53" s="23"/>
      <c r="K53" s="21"/>
      <c r="L53" s="20"/>
      <c r="M53" s="92"/>
    </row>
    <row r="54" spans="1:13" x14ac:dyDescent="0.25">
      <c r="B54" s="25"/>
      <c r="E54" s="12" t="str">
        <f>IF(C54&gt;0,LOOKUP(C54,'Lista de Escolas'!$C$3:$C$181,'Lista de Escolas'!$E$3:$E$181),"")</f>
        <v/>
      </c>
      <c r="F54" s="12"/>
      <c r="G54" s="12"/>
      <c r="H54" s="12"/>
      <c r="I54" s="12"/>
    </row>
    <row r="55" spans="1:13" x14ac:dyDescent="0.25">
      <c r="B55" s="25"/>
      <c r="E55" s="12" t="str">
        <f>IF(C55&gt;0,LOOKUP(C55,'Lista de Escolas'!$C$3:$C$181,'Lista de Escolas'!$E$3:$E$181),"")</f>
        <v/>
      </c>
      <c r="F55" s="12"/>
      <c r="G55" s="12"/>
      <c r="H55" s="12"/>
      <c r="I55" s="12"/>
    </row>
    <row r="56" spans="1:13" x14ac:dyDescent="0.25">
      <c r="B56" s="25"/>
      <c r="E56" s="12" t="str">
        <f>IF(C56&gt;0,LOOKUP(C56,'Lista de Escolas'!$C$3:$C$181,'Lista de Escolas'!$E$3:$E$181),"")</f>
        <v/>
      </c>
      <c r="F56" s="12"/>
      <c r="G56" s="12"/>
      <c r="H56" s="12"/>
      <c r="I56" s="12"/>
    </row>
    <row r="57" spans="1:13" x14ac:dyDescent="0.25">
      <c r="B57" s="25"/>
      <c r="E57" s="12" t="str">
        <f>IF(C57&gt;0,LOOKUP(C57,'Lista de Escolas'!$C$3:$C$181,'Lista de Escolas'!$E$3:$E$181),"")</f>
        <v/>
      </c>
      <c r="F57" s="12"/>
      <c r="G57" s="12"/>
      <c r="H57" s="12"/>
      <c r="I57" s="12"/>
    </row>
    <row r="58" spans="1:13" x14ac:dyDescent="0.25">
      <c r="B58" s="25"/>
      <c r="E58" s="12" t="str">
        <f>IF(C58&gt;0,LOOKUP(C58,'Lista de Escolas'!$C$3:$C$181,'Lista de Escolas'!$E$3:$E$181),"")</f>
        <v/>
      </c>
      <c r="F58" s="12"/>
      <c r="G58" s="12"/>
      <c r="H58" s="12"/>
      <c r="I58" s="12"/>
    </row>
    <row r="59" spans="1:13" x14ac:dyDescent="0.25">
      <c r="B59" s="25"/>
      <c r="E59" s="12" t="str">
        <f>IF(C59&gt;0,LOOKUP(C59,'Lista de Escolas'!$C$3:$C$181,'Lista de Escolas'!$E$3:$E$181),"")</f>
        <v/>
      </c>
      <c r="F59" s="12"/>
      <c r="G59" s="12"/>
      <c r="H59" s="12"/>
      <c r="I59" s="12"/>
    </row>
    <row r="60" spans="1:13" x14ac:dyDescent="0.25">
      <c r="B60" s="25"/>
      <c r="E60" s="12" t="str">
        <f>IF(C60&gt;0,LOOKUP(C60,'Lista de Escolas'!$C$3:$C$181,'Lista de Escolas'!$E$3:$E$181),"")</f>
        <v/>
      </c>
      <c r="F60" s="12"/>
      <c r="G60" s="12"/>
      <c r="H60" s="12"/>
      <c r="I60" s="12"/>
    </row>
    <row r="61" spans="1:13" x14ac:dyDescent="0.25">
      <c r="B61" s="25"/>
      <c r="F61" s="1" t="s">
        <v>595</v>
      </c>
      <c r="G61" s="1" t="s">
        <v>597</v>
      </c>
      <c r="H61" s="1" t="s">
        <v>598</v>
      </c>
      <c r="I61" s="1" t="s">
        <v>596</v>
      </c>
      <c r="J61" s="17" t="s">
        <v>604</v>
      </c>
    </row>
    <row r="62" spans="1:13" x14ac:dyDescent="0.25">
      <c r="B62" s="12" t="s">
        <v>31</v>
      </c>
      <c r="C62" s="17" t="s">
        <v>32</v>
      </c>
      <c r="E62" s="1">
        <f>COUNTIFS(E3:E52,"=Escolas Rainha Santa Isabel")</f>
        <v>11</v>
      </c>
      <c r="F62" s="1">
        <f>SUM(F5:F47)</f>
        <v>8</v>
      </c>
      <c r="G62" s="1">
        <f t="shared" ref="G62:J62" si="0">SUM(G5:G47)</f>
        <v>3</v>
      </c>
      <c r="H62" s="1">
        <f t="shared" si="0"/>
        <v>10</v>
      </c>
      <c r="I62" s="1">
        <f t="shared" si="0"/>
        <v>2</v>
      </c>
      <c r="J62" s="1">
        <f t="shared" si="0"/>
        <v>1</v>
      </c>
    </row>
    <row r="63" spans="1:13" x14ac:dyDescent="0.25">
      <c r="B63" s="12">
        <f>COUNT(B5:B61)</f>
        <v>21</v>
      </c>
      <c r="C63" s="17" t="s">
        <v>33</v>
      </c>
      <c r="E63" s="1">
        <f>COUNTIFS(E3:E52,"=Escolas Dr. Correia Mateus")</f>
        <v>0</v>
      </c>
    </row>
    <row r="64" spans="1:13" x14ac:dyDescent="0.25">
      <c r="C64" s="109" t="s">
        <v>67</v>
      </c>
      <c r="E64" s="1">
        <f>COUNTIFS(E3:E52,"=Escolas da Caranguejeira - Santa Catarina da Serra")</f>
        <v>1</v>
      </c>
    </row>
    <row r="65" spans="3:5" x14ac:dyDescent="0.25">
      <c r="C65" s="17" t="s">
        <v>35</v>
      </c>
      <c r="E65" s="1">
        <f>COUNTIFS(E3:E52,"=Escolas de Colmeias")</f>
        <v>0</v>
      </c>
    </row>
    <row r="66" spans="3:5" x14ac:dyDescent="0.25">
      <c r="C66" s="17" t="s">
        <v>36</v>
      </c>
      <c r="E66" s="1">
        <f>COUNTIFS(E3:E52,"=Escolas de Marrazes")</f>
        <v>0</v>
      </c>
    </row>
    <row r="67" spans="3:5" x14ac:dyDescent="0.25">
      <c r="C67" s="17" t="s">
        <v>37</v>
      </c>
      <c r="E67" s="1">
        <f>COUNTIFS(E3:E52,"=Escolas Domingos Sequeira")</f>
        <v>1</v>
      </c>
    </row>
    <row r="68" spans="3:5" x14ac:dyDescent="0.25">
      <c r="C68" s="17" t="s">
        <v>38</v>
      </c>
      <c r="E68" s="1">
        <f>COUNTIFS(E3:E52,"=Escolas D. Dinis")</f>
        <v>6</v>
      </c>
    </row>
    <row r="69" spans="3:5" x14ac:dyDescent="0.25">
      <c r="C69" s="17" t="s">
        <v>68</v>
      </c>
      <c r="E69" s="1">
        <f>COUNTIFS(E4:E53,"=Henrique Sommer")</f>
        <v>2</v>
      </c>
    </row>
    <row r="70" spans="3:5" x14ac:dyDescent="0.25">
      <c r="C70" s="17" t="s">
        <v>69</v>
      </c>
      <c r="E70" s="1">
        <f>SUM(E62:E69)</f>
        <v>21</v>
      </c>
    </row>
  </sheetData>
  <customSheetViews>
    <customSheetView guid="{7E850ADC-7020-4CE4-9656-1D37A8554340}" hiddenColumns="1" topLeftCell="A37">
      <selection activeCell="E63" sqref="E63"/>
      <pageMargins left="0" right="0" top="0" bottom="0" header="0" footer="0"/>
      <pageSetup paperSize="9" orientation="portrait"/>
    </customSheetView>
    <customSheetView guid="{6C6D19B4-0AAB-4D39-9585-2246A62E9472}" hiddenColumns="1" topLeftCell="A37">
      <selection activeCell="E63" sqref="E63"/>
      <pageMargins left="0" right="0" top="0" bottom="0" header="0" footer="0"/>
      <pageSetup paperSize="9" orientation="portrait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M70"/>
  <sheetViews>
    <sheetView zoomScale="120" zoomScaleNormal="120" workbookViewId="0">
      <selection activeCell="B21" sqref="B21:K21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2.285156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12.7109375" style="1" bestFit="1" customWidth="1"/>
    <col min="11" max="11" width="101.85546875" style="7" bestFit="1" customWidth="1"/>
    <col min="12" max="12" width="63.42578125" style="1" bestFit="1" customWidth="1"/>
  </cols>
  <sheetData>
    <row r="1" spans="1:12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2" x14ac:dyDescent="0.25">
      <c r="A3" s="89"/>
      <c r="B3" s="240" t="s">
        <v>71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2" s="9" customFormat="1" x14ac:dyDescent="0.25">
      <c r="A4" s="88" t="s">
        <v>1</v>
      </c>
      <c r="B4" s="88" t="s">
        <v>2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2" s="4" customFormat="1" ht="15.95" customHeight="1" x14ac:dyDescent="0.2">
      <c r="A5" s="11"/>
      <c r="B5" s="25">
        <v>46146</v>
      </c>
      <c r="C5" s="3" t="s">
        <v>691</v>
      </c>
      <c r="D5" s="3"/>
      <c r="E5" s="12" t="str">
        <f>IF(C5&gt;0,LOOKUP(C5,'Lista de Escolas'!$C$3:$C$181,'Lista de Escolas'!$E$3:$E$181),"")</f>
        <v>Escolas Rainha Santa Isabel</v>
      </c>
      <c r="F5" s="12">
        <v>1</v>
      </c>
      <c r="G5" s="12"/>
      <c r="H5" s="12"/>
      <c r="I5" s="12"/>
      <c r="J5" s="3"/>
      <c r="K5" s="4" t="s">
        <v>736</v>
      </c>
      <c r="L5" s="12"/>
    </row>
    <row r="6" spans="1:12" s="4" customFormat="1" ht="15.95" customHeight="1" x14ac:dyDescent="0.2">
      <c r="A6" s="11"/>
      <c r="B6" s="25">
        <v>46146</v>
      </c>
      <c r="C6" s="3" t="s">
        <v>692</v>
      </c>
      <c r="D6" s="3"/>
      <c r="E6" s="12" t="str">
        <f>IF(C6&gt;0,LOOKUP(C6,'Lista de Escolas'!$C$3:$C$181,'Lista de Escolas'!$E$3:$E$181),"")</f>
        <v>Escolas Rainha Santa Isabel</v>
      </c>
      <c r="F6" s="12">
        <v>1</v>
      </c>
      <c r="G6" s="12"/>
      <c r="H6" s="12"/>
      <c r="I6" s="12"/>
      <c r="J6" s="12"/>
      <c r="K6" s="4" t="s">
        <v>737</v>
      </c>
      <c r="L6" s="3"/>
    </row>
    <row r="7" spans="1:12" s="4" customFormat="1" ht="15.95" customHeight="1" x14ac:dyDescent="0.25">
      <c r="A7" s="11"/>
      <c r="B7" s="25">
        <v>46146</v>
      </c>
      <c r="C7" s="12" t="s">
        <v>278</v>
      </c>
      <c r="D7"/>
      <c r="E7" s="12" t="str">
        <f>IF(C7&gt;0,LOOKUP(C7,'Lista de Escolas'!$C$3:$C$181,'Lista de Escolas'!$E$3:$E$181),"")</f>
        <v>Escolas Rainha Santa Isabel</v>
      </c>
      <c r="F7" s="12"/>
      <c r="G7" s="12"/>
      <c r="H7" s="12">
        <v>1</v>
      </c>
      <c r="I7" s="12"/>
      <c r="J7" s="12"/>
      <c r="K7" s="91" t="s">
        <v>693</v>
      </c>
      <c r="L7" s="3"/>
    </row>
    <row r="8" spans="1:12" s="4" customFormat="1" ht="15.95" customHeight="1" x14ac:dyDescent="0.2">
      <c r="A8" s="11"/>
      <c r="B8" s="25">
        <v>46147</v>
      </c>
      <c r="C8" s="12" t="s">
        <v>708</v>
      </c>
      <c r="D8" s="12"/>
      <c r="E8" s="12" t="str">
        <f>IF(C8&gt;0,LOOKUP(C8,'Lista de Escolas'!$C$3:$C$178,'Lista de Escolas'!$E$3:$E$178),"")</f>
        <v>Escolas Rainha Santa Isabel</v>
      </c>
      <c r="F8" s="12"/>
      <c r="G8" s="12"/>
      <c r="H8" s="12"/>
      <c r="I8" s="12">
        <v>1</v>
      </c>
      <c r="J8" s="12"/>
      <c r="K8" s="91" t="s">
        <v>709</v>
      </c>
      <c r="L8" s="12" t="s">
        <v>64</v>
      </c>
    </row>
    <row r="9" spans="1:12" s="4" customFormat="1" ht="15.95" customHeight="1" x14ac:dyDescent="0.2">
      <c r="A9" s="11"/>
      <c r="B9" s="25">
        <v>46147</v>
      </c>
      <c r="C9" s="12" t="s">
        <v>710</v>
      </c>
      <c r="D9" s="3"/>
      <c r="E9" s="12" t="e">
        <f>IF(C9&gt;0,LOOKUP(C9,'Lista de Escolas'!$C$3:$C$178,'Lista de Escolas'!$E$3:$E$178),"")</f>
        <v>#N/A</v>
      </c>
      <c r="F9" s="12"/>
      <c r="G9" s="12"/>
      <c r="H9" s="12"/>
      <c r="I9" s="12">
        <v>1</v>
      </c>
      <c r="J9" s="3"/>
      <c r="K9" s="4" t="s">
        <v>709</v>
      </c>
      <c r="L9" s="3" t="s">
        <v>64</v>
      </c>
    </row>
    <row r="10" spans="1:12" s="4" customFormat="1" ht="15.95" customHeight="1" x14ac:dyDescent="0.2">
      <c r="A10" s="11"/>
      <c r="B10" s="25">
        <v>46147</v>
      </c>
      <c r="C10" s="108" t="s">
        <v>711</v>
      </c>
      <c r="D10" s="12"/>
      <c r="E10" s="12" t="str">
        <f>IF(C10&gt;0,LOOKUP(C10,'Lista de Escolas'!$C$3:$C$178,'Lista de Escolas'!$E$3:$E$178),"")</f>
        <v>Escolas Rainha Santa Isabel</v>
      </c>
      <c r="F10" s="12">
        <v>1</v>
      </c>
      <c r="G10" s="12"/>
      <c r="H10" s="12"/>
      <c r="I10" s="12"/>
      <c r="J10" s="12"/>
      <c r="K10" s="90" t="s">
        <v>734</v>
      </c>
      <c r="L10" s="12"/>
    </row>
    <row r="11" spans="1:12" s="4" customFormat="1" ht="15.95" customHeight="1" x14ac:dyDescent="0.2">
      <c r="A11" s="11"/>
      <c r="B11" s="25">
        <v>46147</v>
      </c>
      <c r="C11" s="12" t="s">
        <v>24</v>
      </c>
      <c r="D11" s="12"/>
      <c r="E11" s="12" t="e">
        <f>IF(C11&gt;0,LOOKUP(C11,'Lista de Escolas'!$C$3:$C$178,'Lista de Escolas'!$E$3:$E$178),"")</f>
        <v>#N/A</v>
      </c>
      <c r="F11" s="12">
        <v>1</v>
      </c>
      <c r="G11" s="12"/>
      <c r="H11" s="12"/>
      <c r="I11" s="12"/>
      <c r="J11" s="12">
        <v>1</v>
      </c>
      <c r="K11" s="91" t="s">
        <v>735</v>
      </c>
      <c r="L11" s="12" t="s">
        <v>64</v>
      </c>
    </row>
    <row r="12" spans="1:12" s="4" customFormat="1" ht="15.95" customHeight="1" x14ac:dyDescent="0.2">
      <c r="A12" s="11"/>
      <c r="B12" s="25">
        <v>46148</v>
      </c>
      <c r="C12" s="3" t="s">
        <v>138</v>
      </c>
      <c r="D12" s="3"/>
      <c r="E12" s="12" t="e">
        <f>IF(C12&gt;0,LOOKUP(C12,'Lista de Escolas'!$C$3:$C$178,'Lista de Escolas'!$E$3:$E$178),"")</f>
        <v>#N/A</v>
      </c>
      <c r="F12" s="12"/>
      <c r="G12" s="12"/>
      <c r="H12" s="12">
        <v>1</v>
      </c>
      <c r="I12" s="12"/>
      <c r="J12" s="3"/>
      <c r="K12" s="4" t="s">
        <v>717</v>
      </c>
      <c r="L12" s="12" t="s">
        <v>64</v>
      </c>
    </row>
    <row r="13" spans="1:12" s="4" customFormat="1" ht="15.95" customHeight="1" x14ac:dyDescent="0.2">
      <c r="A13" s="11"/>
      <c r="B13" s="25">
        <v>46149</v>
      </c>
      <c r="C13" s="3" t="s">
        <v>251</v>
      </c>
      <c r="D13" s="3"/>
      <c r="E13" s="12" t="str">
        <f>IF(C13&gt;0,LOOKUP(C13,'Lista de Escolas'!$C$3:$C$178,'Lista de Escolas'!$E$3:$E$178),"")</f>
        <v>Escolas Rainha Santa Isabel</v>
      </c>
      <c r="F13" s="12"/>
      <c r="G13" s="12"/>
      <c r="H13" s="12">
        <v>1</v>
      </c>
      <c r="I13" s="12"/>
      <c r="J13" s="3"/>
      <c r="K13" s="4" t="s">
        <v>718</v>
      </c>
      <c r="L13" s="12" t="s">
        <v>64</v>
      </c>
    </row>
    <row r="14" spans="1:12" s="4" customFormat="1" ht="15.95" customHeight="1" x14ac:dyDescent="0.2">
      <c r="A14" s="22"/>
      <c r="B14" s="25">
        <v>46149</v>
      </c>
      <c r="C14" s="3" t="s">
        <v>207</v>
      </c>
      <c r="D14" s="3"/>
      <c r="E14" s="12" t="str">
        <f>IF(C14&gt;0,LOOKUP(C14,'Lista de Escolas'!$C$3:$C$178,'Lista de Escolas'!$E$3:$E$178),"")</f>
        <v>Escolas Domingos Sequeira</v>
      </c>
      <c r="F14" s="12"/>
      <c r="G14" s="12"/>
      <c r="H14" s="12"/>
      <c r="I14" s="12">
        <v>1</v>
      </c>
      <c r="J14" s="3"/>
      <c r="K14" s="4" t="s">
        <v>720</v>
      </c>
      <c r="L14" s="12" t="s">
        <v>64</v>
      </c>
    </row>
    <row r="15" spans="1:12" s="4" customFormat="1" ht="15.95" customHeight="1" x14ac:dyDescent="0.2">
      <c r="A15" s="11"/>
      <c r="B15" s="25">
        <v>46150</v>
      </c>
      <c r="C15" s="3" t="s">
        <v>722</v>
      </c>
      <c r="D15" s="3"/>
      <c r="E15" s="12" t="e">
        <f>IF(C15&gt;0,LOOKUP(C15,'Lista de Escolas'!$C$3:$C$178,'Lista de Escolas'!$E$3:$E$178),"")</f>
        <v>#N/A</v>
      </c>
      <c r="F15" s="12"/>
      <c r="G15" s="12"/>
      <c r="H15" s="12"/>
      <c r="I15" s="12">
        <v>1</v>
      </c>
      <c r="J15" s="3"/>
      <c r="K15" s="4" t="s">
        <v>720</v>
      </c>
      <c r="L15" s="12" t="s">
        <v>64</v>
      </c>
    </row>
    <row r="16" spans="1:12" ht="15.95" customHeight="1" x14ac:dyDescent="0.25">
      <c r="A16" s="22"/>
      <c r="B16" s="25">
        <v>46153</v>
      </c>
      <c r="C16" s="3" t="s">
        <v>79</v>
      </c>
      <c r="D16" s="3"/>
      <c r="E16" s="12" t="str">
        <f>IF(C16&gt;0,LOOKUP(C16,'Lista de Escolas'!$C$3:$C$178,'Lista de Escolas'!$E$3:$E$178),"")</f>
        <v>Escolas Rainha Santa Isabel</v>
      </c>
      <c r="F16" s="12">
        <v>1</v>
      </c>
      <c r="G16" s="12"/>
      <c r="H16" s="12"/>
      <c r="I16" s="12">
        <v>1</v>
      </c>
      <c r="J16" s="3"/>
      <c r="K16" s="4" t="s">
        <v>725</v>
      </c>
      <c r="L16" s="3"/>
    </row>
    <row r="17" spans="1:12" s="13" customFormat="1" ht="24" customHeight="1" x14ac:dyDescent="0.2">
      <c r="A17" s="22"/>
      <c r="B17" s="25">
        <v>46154</v>
      </c>
      <c r="C17" s="12" t="s">
        <v>186</v>
      </c>
      <c r="D17" s="12"/>
      <c r="E17" s="12" t="e">
        <f>IF(C17&gt;0,LOOKUP(C17,'Lista de Escolas'!$C$3:$C$178,'Lista de Escolas'!$E$3:$E$178),"")</f>
        <v>#N/A</v>
      </c>
      <c r="F17" s="12"/>
      <c r="G17" s="12"/>
      <c r="H17" s="12">
        <v>1</v>
      </c>
      <c r="I17" s="12"/>
      <c r="J17" s="12">
        <v>1</v>
      </c>
      <c r="K17" s="91" t="s">
        <v>738</v>
      </c>
      <c r="L17" s="12"/>
    </row>
    <row r="18" spans="1:12" ht="15.95" customHeight="1" x14ac:dyDescent="0.25">
      <c r="A18" s="22"/>
      <c r="B18" s="25">
        <v>46156</v>
      </c>
      <c r="C18" s="3" t="s">
        <v>237</v>
      </c>
      <c r="D18" s="3"/>
      <c r="E18" s="12" t="str">
        <f>IF(C18&gt;0,LOOKUP(C18,'Lista de Escolas'!$C$3:$C$178,'Lista de Escolas'!$E$3:$E$178),"")</f>
        <v>Escolas Rainha Santa Isabel</v>
      </c>
      <c r="F18" s="12"/>
      <c r="G18" s="12"/>
      <c r="H18" s="12">
        <v>1</v>
      </c>
      <c r="I18" s="12"/>
      <c r="J18" s="3"/>
      <c r="K18" s="4" t="s">
        <v>740</v>
      </c>
      <c r="L18" s="3"/>
    </row>
    <row r="19" spans="1:12" ht="15.95" customHeight="1" x14ac:dyDescent="0.25">
      <c r="A19" s="22"/>
      <c r="B19" s="25">
        <v>46160</v>
      </c>
      <c r="C19" s="12" t="s">
        <v>257</v>
      </c>
      <c r="D19" s="12"/>
      <c r="E19" s="12" t="str">
        <f>IF(C19&gt;0,LOOKUP(C19,'Lista de Escolas'!$C$3:$C$178,'Lista de Escolas'!$E$3:$E$178),"")</f>
        <v>Escolas Rainha Santa Isabel</v>
      </c>
      <c r="F19" s="12"/>
      <c r="G19" s="12"/>
      <c r="H19" s="12">
        <v>1</v>
      </c>
      <c r="I19" s="12"/>
      <c r="J19" s="12"/>
      <c r="K19" s="91" t="s">
        <v>682</v>
      </c>
      <c r="L19" s="12"/>
    </row>
    <row r="20" spans="1:12" ht="15.95" customHeight="1" x14ac:dyDescent="0.25">
      <c r="A20" s="22"/>
      <c r="B20" s="25">
        <v>18</v>
      </c>
      <c r="C20" s="3" t="s">
        <v>259</v>
      </c>
      <c r="D20" s="3"/>
      <c r="E20" s="12" t="str">
        <f>IF(C20&gt;0,LOOKUP(C20,'Lista de Escolas'!$C$3:$C$178,'Lista de Escolas'!$E$3:$E$178),"")</f>
        <v>Escolas Rainha Santa Isabel</v>
      </c>
      <c r="F20" s="12"/>
      <c r="G20" s="12"/>
      <c r="H20" s="12">
        <v>1</v>
      </c>
      <c r="I20" s="12"/>
      <c r="J20" s="3"/>
      <c r="K20" s="91" t="s">
        <v>682</v>
      </c>
      <c r="L20" s="3"/>
    </row>
    <row r="21" spans="1:12" ht="15.95" customHeight="1" x14ac:dyDescent="0.25">
      <c r="A21" s="22"/>
      <c r="B21" s="25">
        <v>46161</v>
      </c>
      <c r="C21" s="12" t="s">
        <v>153</v>
      </c>
      <c r="D21" s="12"/>
      <c r="E21" s="12" t="str">
        <f>IF(C21&gt;0,LOOKUP(C21,'Lista de Escolas'!$C$3:$C$178,'Lista de Escolas'!$E$3:$E$178),"")</f>
        <v>Escolas Rainha Santa Isabel</v>
      </c>
      <c r="F21" s="12"/>
      <c r="G21" s="12"/>
      <c r="H21" s="12">
        <v>1</v>
      </c>
      <c r="I21" s="12"/>
      <c r="J21" s="12"/>
      <c r="K21" s="91" t="s">
        <v>682</v>
      </c>
      <c r="L21" s="12"/>
    </row>
    <row r="22" spans="1:12" ht="15.95" customHeight="1" x14ac:dyDescent="0.25">
      <c r="A22" s="22"/>
      <c r="B22" s="25">
        <v>46161</v>
      </c>
      <c r="C22" s="12" t="s">
        <v>751</v>
      </c>
      <c r="D22" s="3"/>
      <c r="E22" s="12" t="str">
        <f>IF(C22&gt;0,LOOKUP(C22,'Lista de Escolas'!$C$3:$C$178,'Lista de Escolas'!$E$3:$E$178),"")</f>
        <v>Henrique Sommer</v>
      </c>
      <c r="F22" s="12"/>
      <c r="G22" s="12"/>
      <c r="H22" s="12">
        <v>1</v>
      </c>
      <c r="I22" s="12"/>
      <c r="J22" s="12"/>
      <c r="K22" s="91" t="s">
        <v>682</v>
      </c>
      <c r="L22" s="3"/>
    </row>
    <row r="23" spans="1:12" x14ac:dyDescent="0.25">
      <c r="A23" s="22"/>
      <c r="B23" s="25">
        <v>46161</v>
      </c>
      <c r="C23" s="12" t="s">
        <v>139</v>
      </c>
      <c r="D23" s="3"/>
      <c r="E23" s="12" t="str">
        <f>IF(C23&gt;0,LOOKUP(C23,'Lista de Escolas'!$C$3:$C$178,'Lista de Escolas'!$E$3:$E$178),"")</f>
        <v>Escolas Domingos Sequeira</v>
      </c>
      <c r="F23" s="12">
        <v>1</v>
      </c>
      <c r="G23" s="12"/>
      <c r="H23" s="12"/>
      <c r="I23" s="12"/>
      <c r="J23" s="12"/>
      <c r="K23" s="91" t="s">
        <v>752</v>
      </c>
      <c r="L23" s="3"/>
    </row>
    <row r="24" spans="1:12" x14ac:dyDescent="0.25">
      <c r="A24" s="23"/>
      <c r="B24" s="25">
        <v>46170</v>
      </c>
      <c r="C24" s="12" t="s">
        <v>89</v>
      </c>
      <c r="D24" s="3"/>
      <c r="E24" s="12" t="str">
        <f>IF(C24&gt;0,LOOKUP(C24,'Lista de Escolas'!$C$3:$C$178,'Lista de Escolas'!$E$3:$E$178),"")</f>
        <v>Escolas Domingos Sequeira</v>
      </c>
      <c r="F24" s="12">
        <v>1</v>
      </c>
      <c r="G24" s="12">
        <v>1</v>
      </c>
      <c r="H24" s="12"/>
      <c r="I24" s="12"/>
      <c r="J24" s="12"/>
      <c r="K24" s="91" t="s">
        <v>764</v>
      </c>
      <c r="L24" s="3"/>
    </row>
    <row r="25" spans="1:12" x14ac:dyDescent="0.25">
      <c r="A25" s="23"/>
      <c r="B25" s="25">
        <v>46171</v>
      </c>
      <c r="C25" s="12" t="s">
        <v>254</v>
      </c>
      <c r="D25" s="3"/>
      <c r="E25" s="12" t="str">
        <f>IF(C25&gt;0,LOOKUP(C25,'Lista de Escolas'!$C$3:$C$178,'Lista de Escolas'!$E$3:$E$178),"")</f>
        <v>Escolas Rainha Santa Isabel</v>
      </c>
      <c r="F25" s="12"/>
      <c r="G25" s="12"/>
      <c r="H25" s="12">
        <v>1</v>
      </c>
      <c r="I25" s="12"/>
      <c r="J25" s="12"/>
      <c r="K25" s="91" t="s">
        <v>682</v>
      </c>
      <c r="L25" s="3"/>
    </row>
    <row r="26" spans="1:12" x14ac:dyDescent="0.25">
      <c r="A26" s="23"/>
      <c r="B26" s="25">
        <v>46171</v>
      </c>
      <c r="C26" s="12" t="s">
        <v>763</v>
      </c>
      <c r="D26" s="3"/>
      <c r="E26" s="12" t="str">
        <f>IF(C26&gt;0,LOOKUP(C26,'Lista de Escolas'!$C$3:$C$178,'Lista de Escolas'!$E$3:$E$178),"")</f>
        <v>Henrique Sommer</v>
      </c>
      <c r="F26" s="12"/>
      <c r="G26" s="12"/>
      <c r="H26" s="12">
        <v>1</v>
      </c>
      <c r="I26" s="12"/>
      <c r="J26" s="12"/>
      <c r="K26" s="91" t="s">
        <v>682</v>
      </c>
      <c r="L26" s="3"/>
    </row>
    <row r="27" spans="1:12" x14ac:dyDescent="0.25">
      <c r="A27" s="23"/>
      <c r="B27" s="25">
        <v>46171</v>
      </c>
      <c r="C27" s="3" t="s">
        <v>131</v>
      </c>
      <c r="D27" s="3"/>
      <c r="E27" s="12" t="str">
        <f>IF(C27&gt;0,LOOKUP(C27,'Lista de Escolas'!$C$3:$C$178,'Lista de Escolas'!$E$3:$E$178),"")</f>
        <v>Escolas Rainha Santa Isabel</v>
      </c>
      <c r="F27" s="12"/>
      <c r="G27" s="12"/>
      <c r="H27" s="12"/>
      <c r="I27" s="12"/>
      <c r="J27" s="3"/>
      <c r="K27" s="4" t="s">
        <v>765</v>
      </c>
      <c r="L27" s="3"/>
    </row>
    <row r="28" spans="1:12" x14ac:dyDescent="0.25">
      <c r="A28" s="23"/>
      <c r="B28" s="25">
        <v>46171</v>
      </c>
      <c r="C28" s="12" t="s">
        <v>89</v>
      </c>
      <c r="D28" s="12"/>
      <c r="E28" s="12" t="str">
        <f>IF(C28&gt;0,LOOKUP(C28,'Lista de Escolas'!$C$3:$C$178,'Lista de Escolas'!$E$3:$E$178),"")</f>
        <v>Escolas Domingos Sequeira</v>
      </c>
      <c r="F28" s="12">
        <v>1</v>
      </c>
      <c r="G28" s="12"/>
      <c r="H28" s="12"/>
      <c r="I28" s="12">
        <v>1</v>
      </c>
      <c r="J28" s="12"/>
      <c r="K28" s="91" t="s">
        <v>766</v>
      </c>
      <c r="L28" s="12"/>
    </row>
    <row r="29" spans="1:12" x14ac:dyDescent="0.25">
      <c r="A29" s="23"/>
      <c r="B29" s="25"/>
      <c r="C29" s="12"/>
      <c r="D29" s="12"/>
      <c r="E29" s="12" t="str">
        <f>IF(C29&gt;0,LOOKUP(C29,'Lista de Escolas'!$C$3:$C$178,'Lista de Escolas'!$E$3:$E$178),"")</f>
        <v/>
      </c>
      <c r="F29" s="12"/>
      <c r="G29" s="12"/>
      <c r="H29" s="12"/>
      <c r="I29" s="12"/>
      <c r="J29" s="12"/>
      <c r="K29" s="14"/>
      <c r="L29" s="12"/>
    </row>
    <row r="30" spans="1:12" x14ac:dyDescent="0.25">
      <c r="A30" s="22"/>
      <c r="B30" s="25"/>
      <c r="C30" s="3"/>
      <c r="D30" s="3"/>
      <c r="E30" s="12" t="str">
        <f>IF(C30&gt;0,LOOKUP(C30,'Lista de Escolas'!$C$3:$C$178,'Lista de Escolas'!$E$3:$E$178),"")</f>
        <v/>
      </c>
      <c r="F30" s="12"/>
      <c r="G30" s="12"/>
      <c r="H30" s="12"/>
      <c r="I30" s="12"/>
      <c r="J30" s="3"/>
      <c r="K30" s="5"/>
      <c r="L30" s="3"/>
    </row>
    <row r="31" spans="1:12" x14ac:dyDescent="0.25">
      <c r="A31" s="22"/>
      <c r="B31" s="25"/>
      <c r="C31" s="12"/>
      <c r="D31" s="12"/>
      <c r="E31" s="12" t="str">
        <f>IF(C31&gt;0,LOOKUP(C31,'Lista de Escolas'!$C$3:$C$178,'Lista de Escolas'!$E$3:$E$178),"")</f>
        <v/>
      </c>
      <c r="F31" s="12"/>
      <c r="G31" s="12"/>
      <c r="H31" s="12"/>
      <c r="I31" s="12"/>
      <c r="J31" s="12"/>
      <c r="K31" s="14"/>
      <c r="L31" s="12"/>
    </row>
    <row r="32" spans="1:12" x14ac:dyDescent="0.25">
      <c r="A32" s="22"/>
      <c r="B32" s="25"/>
      <c r="C32" s="3"/>
      <c r="D32" s="3"/>
      <c r="E32" s="12" t="str">
        <f>IF(C32&gt;0,LOOKUP(C32,'Lista de Escolas'!$C$3:$C$178,'Lista de Escolas'!$E$3:$E$178),"")</f>
        <v/>
      </c>
      <c r="F32" s="12"/>
      <c r="G32" s="12"/>
      <c r="H32" s="12"/>
      <c r="I32" s="12"/>
      <c r="J32" s="3"/>
      <c r="K32" s="5"/>
      <c r="L32" s="3"/>
    </row>
    <row r="33" spans="1:13" x14ac:dyDescent="0.25">
      <c r="A33" s="22"/>
      <c r="B33" s="226"/>
      <c r="C33" s="11"/>
      <c r="D33" s="12"/>
      <c r="E33" s="12" t="str">
        <f>IF(C33&gt;0,LOOKUP(C33,'Lista de Escolas'!$C$3:$C$178,'Lista de Escolas'!$E$3:$E$178),"")</f>
        <v/>
      </c>
      <c r="F33" s="12"/>
      <c r="G33" s="12"/>
      <c r="H33" s="12"/>
      <c r="I33" s="12"/>
      <c r="J33" s="12"/>
      <c r="K33" s="14"/>
      <c r="L33" s="3"/>
    </row>
    <row r="34" spans="1:13" x14ac:dyDescent="0.25">
      <c r="A34" s="23"/>
      <c r="B34" s="226"/>
      <c r="C34" s="3"/>
      <c r="D34" s="3"/>
      <c r="E34" s="12" t="str">
        <f>IF(C34&gt;0,LOOKUP(C34,'Lista de Escolas'!$C$3:$C$178,'Lista de Escolas'!$E$3:$E$178),"")</f>
        <v/>
      </c>
      <c r="F34" s="12"/>
      <c r="G34" s="12"/>
      <c r="H34" s="12"/>
      <c r="I34" s="12"/>
      <c r="J34" s="3"/>
      <c r="K34" s="5"/>
      <c r="L34" s="3"/>
    </row>
    <row r="35" spans="1:13" x14ac:dyDescent="0.25">
      <c r="A35" s="23"/>
      <c r="B35" s="226"/>
      <c r="C35" s="20"/>
      <c r="D35" s="20"/>
      <c r="E35" s="12" t="str">
        <f>IF(C35&gt;0,LOOKUP(C35,'Lista de Escolas'!$C$3:$C$178,'Lista de Escolas'!$E$3:$E$178),"")</f>
        <v/>
      </c>
      <c r="F35" s="12"/>
      <c r="G35" s="12"/>
      <c r="H35" s="12"/>
      <c r="I35" s="12"/>
      <c r="J35" s="20"/>
      <c r="K35" s="21"/>
    </row>
    <row r="36" spans="1:13" x14ac:dyDescent="0.25">
      <c r="A36" s="22"/>
      <c r="B36" s="226"/>
      <c r="E36" s="12" t="str">
        <f>IF(C36&gt;0,LOOKUP(C36,'Lista de Escolas'!$C$3:$C$178,'Lista de Escolas'!$E$3:$E$178),"")</f>
        <v/>
      </c>
      <c r="F36" s="12"/>
      <c r="G36" s="12"/>
      <c r="H36" s="12"/>
      <c r="I36" s="12"/>
      <c r="K36" s="21"/>
      <c r="L36" s="23"/>
      <c r="M36" s="92"/>
    </row>
    <row r="37" spans="1:13" x14ac:dyDescent="0.25">
      <c r="A37" s="23"/>
      <c r="B37" s="226"/>
      <c r="C37" s="20"/>
      <c r="D37" s="20"/>
      <c r="E37" s="12" t="str">
        <f>IF(C37&gt;0,LOOKUP(C37,'Lista de Escolas'!$C$3:$C$178,'Lista de Escolas'!$E$3:$E$178),"")</f>
        <v/>
      </c>
      <c r="F37" s="12"/>
      <c r="G37" s="12"/>
      <c r="H37" s="12"/>
      <c r="I37" s="12"/>
      <c r="J37" s="20"/>
      <c r="K37" s="21"/>
      <c r="L37" s="20"/>
      <c r="M37" s="92"/>
    </row>
    <row r="38" spans="1:13" x14ac:dyDescent="0.25">
      <c r="A38" s="22"/>
      <c r="B38" s="226"/>
      <c r="E38" s="12" t="str">
        <f>IF(C38&gt;0,LOOKUP(C38,'Lista de Escolas'!$C$3:$C$178,'Lista de Escolas'!$E$3:$E$178),"")</f>
        <v/>
      </c>
      <c r="F38" s="12"/>
      <c r="G38" s="12"/>
      <c r="H38" s="12"/>
      <c r="I38" s="12"/>
      <c r="K38" s="21"/>
      <c r="L38" s="23"/>
      <c r="M38" s="92"/>
    </row>
    <row r="39" spans="1:13" x14ac:dyDescent="0.25">
      <c r="A39" s="22"/>
      <c r="B39" s="226"/>
      <c r="C39" s="23"/>
      <c r="D39" s="23"/>
      <c r="E39" s="12" t="str">
        <f>IF(C39&gt;0,LOOKUP(C39,'Lista de Escolas'!$C$3:$C$178,'Lista de Escolas'!$E$3:$E$178),"")</f>
        <v/>
      </c>
      <c r="F39" s="12"/>
      <c r="G39" s="12"/>
      <c r="H39" s="12"/>
      <c r="I39" s="12"/>
      <c r="J39" s="23"/>
      <c r="K39" s="24"/>
      <c r="L39" s="23"/>
      <c r="M39" s="92"/>
    </row>
    <row r="40" spans="1:13" x14ac:dyDescent="0.25">
      <c r="A40" s="23"/>
      <c r="B40" s="226"/>
      <c r="C40" s="23"/>
      <c r="D40" s="23"/>
      <c r="E40" s="12" t="str">
        <f>IF(C40&gt;0,LOOKUP(C40,'Lista de Escolas'!$C$3:$C$178,'Lista de Escolas'!$E$3:$E$178),"")</f>
        <v/>
      </c>
      <c r="F40" s="12"/>
      <c r="G40" s="12"/>
      <c r="H40" s="12"/>
      <c r="I40" s="12"/>
      <c r="J40" s="23"/>
      <c r="K40" s="24"/>
      <c r="L40" s="23"/>
      <c r="M40" s="92"/>
    </row>
    <row r="41" spans="1:13" x14ac:dyDescent="0.25">
      <c r="A41" s="22"/>
      <c r="B41" s="22"/>
      <c r="C41" s="20"/>
      <c r="D41" s="20"/>
      <c r="E41" s="12" t="str">
        <f>IF(C41&gt;0,LOOKUP(C41,'Lista de Escolas'!$C$3:$C$178,'Lista de Escolas'!$E$3:$E$178),"")</f>
        <v/>
      </c>
      <c r="F41" s="12"/>
      <c r="G41" s="12"/>
      <c r="H41" s="12"/>
      <c r="I41" s="12"/>
      <c r="J41" s="20"/>
      <c r="K41" s="21"/>
      <c r="L41" s="23"/>
      <c r="M41" s="92"/>
    </row>
    <row r="42" spans="1:13" x14ac:dyDescent="0.25">
      <c r="A42" s="22"/>
      <c r="B42" s="22"/>
      <c r="C42" s="23"/>
      <c r="D42" s="23"/>
      <c r="E42" s="12" t="str">
        <f>IF(C42&gt;0,LOOKUP(C42,'Lista de Escolas'!$C$3:$C$178,'Lista de Escolas'!$E$3:$E$178),"")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2"/>
      <c r="B43" s="22"/>
      <c r="C43" s="20"/>
      <c r="D43" s="20"/>
      <c r="E43" s="12" t="str">
        <f>IF(C43&gt;0,LOOKUP(C43,'Lista de Escolas'!$C$3:$C$178,'Lista de Escolas'!$E$3:$E$178),"")</f>
        <v/>
      </c>
      <c r="F43" s="12"/>
      <c r="G43" s="12"/>
      <c r="H43" s="12"/>
      <c r="I43" s="12"/>
      <c r="J43" s="20"/>
      <c r="K43" s="21"/>
      <c r="L43" s="23"/>
      <c r="M43" s="92"/>
    </row>
    <row r="44" spans="1:13" x14ac:dyDescent="0.25">
      <c r="A44" s="22"/>
      <c r="B44" s="22"/>
      <c r="C44" s="23"/>
      <c r="D44" s="23"/>
      <c r="E44" s="12" t="str">
        <f>IF(C44&gt;0,LOOKUP(C44,'Lista de Escolas'!$C$3:$C$178,'Lista de Escolas'!$E$3:$E$178),"")</f>
        <v/>
      </c>
      <c r="F44" s="12"/>
      <c r="G44" s="12"/>
      <c r="H44" s="12"/>
      <c r="I44" s="12"/>
      <c r="J44" s="23"/>
      <c r="K44" s="24"/>
      <c r="L44" s="23"/>
      <c r="M44" s="92"/>
    </row>
    <row r="45" spans="1:13" x14ac:dyDescent="0.25">
      <c r="A45" s="23"/>
      <c r="B45" s="22"/>
      <c r="C45" s="20"/>
      <c r="D45" s="20"/>
      <c r="E45" s="12" t="str">
        <f>IF(C45&gt;0,LOOKUP(C45,'Lista de Escolas'!$C$3:$C$178,'Lista de Escolas'!$E$3:$E$178),"")</f>
        <v/>
      </c>
      <c r="F45" s="12"/>
      <c r="G45" s="12"/>
      <c r="H45" s="12"/>
      <c r="I45" s="12"/>
      <c r="J45" s="20"/>
      <c r="K45" s="21"/>
      <c r="L45" s="20"/>
      <c r="M45" s="92"/>
    </row>
    <row r="46" spans="1:13" x14ac:dyDescent="0.25">
      <c r="A46" s="22"/>
      <c r="B46" s="22"/>
      <c r="C46" s="20"/>
      <c r="D46" s="20"/>
      <c r="E46" s="12" t="str">
        <f>IF(C46&gt;0,LOOKUP(C46,'Lista de Escolas'!$C$3:$C$178,'Lista de Escolas'!$E$3:$E$178),"")</f>
        <v/>
      </c>
      <c r="F46" s="12"/>
      <c r="G46" s="12"/>
      <c r="H46" s="12"/>
      <c r="I46" s="12"/>
      <c r="J46" s="20"/>
      <c r="K46" s="21"/>
      <c r="L46" s="20"/>
      <c r="M46" s="92"/>
    </row>
    <row r="47" spans="1:13" x14ac:dyDescent="0.25">
      <c r="A47" s="22"/>
      <c r="B47" s="22"/>
      <c r="C47" s="20"/>
      <c r="D47" s="20"/>
      <c r="E47" s="12" t="str">
        <f>IF(C47&gt;0,LOOKUP(C47,'Lista de Escolas'!$C$3:$C$178,'Lista de Escolas'!$E$3:$E$178),"")</f>
        <v/>
      </c>
      <c r="F47" s="12"/>
      <c r="G47" s="12"/>
      <c r="H47" s="12"/>
      <c r="I47" s="12"/>
      <c r="J47" s="20"/>
      <c r="K47" s="21"/>
      <c r="L47" s="20"/>
      <c r="M47" s="92"/>
    </row>
    <row r="48" spans="1:13" x14ac:dyDescent="0.25">
      <c r="A48" s="23"/>
      <c r="B48" s="22"/>
      <c r="C48" s="23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3"/>
      <c r="K48" s="24"/>
      <c r="L48" s="23"/>
      <c r="M48" s="92"/>
    </row>
    <row r="49" spans="1:13" x14ac:dyDescent="0.25">
      <c r="A49" s="23"/>
      <c r="B49" s="22"/>
      <c r="C49" s="20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0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0"/>
      <c r="K50" s="21"/>
      <c r="L50" s="20"/>
      <c r="M50" s="92"/>
    </row>
    <row r="51" spans="1:13" x14ac:dyDescent="0.25">
      <c r="A51" s="22"/>
      <c r="B51" s="22"/>
      <c r="C51" s="20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0"/>
      <c r="K51" s="21"/>
      <c r="L51" s="20"/>
      <c r="M51" s="92"/>
    </row>
    <row r="52" spans="1:13" x14ac:dyDescent="0.25">
      <c r="A52" s="22"/>
      <c r="B52" s="22"/>
      <c r="C52" s="20"/>
      <c r="D52" s="20"/>
      <c r="E52" s="12" t="str">
        <f>IF(C52&gt;0,LOOKUP(C52,'Lista de Escolas'!$C$3:$C$178,'Lista de Escolas'!$E$3:$E$178),"")</f>
        <v/>
      </c>
      <c r="F52" s="12"/>
      <c r="G52" s="12"/>
      <c r="H52" s="12"/>
      <c r="I52" s="12"/>
      <c r="J52" s="20"/>
      <c r="K52" s="21"/>
      <c r="L52" s="23"/>
      <c r="M52" s="92"/>
    </row>
    <row r="53" spans="1:13" x14ac:dyDescent="0.25">
      <c r="C53" s="20"/>
      <c r="D53" s="20"/>
      <c r="E53" s="12" t="str">
        <f>IF(C53&gt;0,LOOKUP(C53,'Lista de Escolas'!$C$3:$C$178,'Lista de Escolas'!$E$3:$E$178),"")</f>
        <v/>
      </c>
      <c r="F53" s="12"/>
      <c r="G53" s="12"/>
      <c r="H53" s="12"/>
      <c r="I53" s="12"/>
      <c r="J53" s="20"/>
      <c r="K53" s="21"/>
      <c r="L53" s="20"/>
      <c r="M53" s="92"/>
    </row>
    <row r="54" spans="1:13" x14ac:dyDescent="0.25">
      <c r="E54" s="12" t="str">
        <f>IF(C54&gt;0,LOOKUP(C54,'Lista de Escolas'!$C$3:$C$178,'Lista de Escolas'!$E$3:$E$178),"")</f>
        <v/>
      </c>
      <c r="F54" s="12"/>
      <c r="G54" s="12"/>
      <c r="H54" s="12"/>
      <c r="I54" s="12"/>
    </row>
    <row r="55" spans="1:13" x14ac:dyDescent="0.25">
      <c r="E55" s="12" t="str">
        <f>IF(C55&gt;0,LOOKUP(C55,'Lista de Escolas'!$C$3:$C$178,'Lista de Escolas'!$E$3:$E$178),"")</f>
        <v/>
      </c>
      <c r="F55" s="12"/>
      <c r="G55" s="12"/>
      <c r="H55" s="12"/>
      <c r="I55" s="12"/>
    </row>
    <row r="56" spans="1:13" x14ac:dyDescent="0.25">
      <c r="E56" s="12" t="str">
        <f>IF(C56&gt;0,LOOKUP(C56,'Lista de Escolas'!$C$3:$C$178,'Lista de Escolas'!$E$3:$E$178),"")</f>
        <v/>
      </c>
      <c r="F56" s="12"/>
      <c r="G56" s="12"/>
      <c r="H56" s="12"/>
      <c r="I56" s="12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Escolas'!$C$3:$C$178,'Lista de Escolas'!$E$3:$E$178),"")</f>
        <v/>
      </c>
      <c r="F58" s="12"/>
      <c r="G58" s="12"/>
      <c r="H58" s="12"/>
      <c r="I58" s="12"/>
    </row>
    <row r="59" spans="1:13" x14ac:dyDescent="0.25">
      <c r="E59" s="12" t="str">
        <f>IF(C59&gt;0,LOOKUP(C59,'Lista de Escolas'!$C$3:$C$178,'Lista de Escolas'!$E$3:$E$178),"")</f>
        <v/>
      </c>
      <c r="F59" s="12"/>
      <c r="G59" s="12"/>
      <c r="H59" s="12"/>
      <c r="I59" s="12"/>
    </row>
    <row r="60" spans="1:13" x14ac:dyDescent="0.25">
      <c r="E60" s="12" t="str">
        <f>IF(C60&gt;0,LOOKUP(C60,'Lista de Escolas'!$C$3:$C$178,'Lista de Escolas'!$E$3:$E$178),"")</f>
        <v/>
      </c>
      <c r="F60" s="1" t="s">
        <v>595</v>
      </c>
      <c r="G60" s="1" t="s">
        <v>597</v>
      </c>
      <c r="H60" s="1" t="s">
        <v>598</v>
      </c>
      <c r="I60" s="1" t="s">
        <v>596</v>
      </c>
      <c r="J60" s="17" t="s">
        <v>604</v>
      </c>
    </row>
    <row r="61" spans="1:13" x14ac:dyDescent="0.25">
      <c r="F61" s="1">
        <f>SUM(F4:F46)</f>
        <v>8</v>
      </c>
      <c r="G61" s="1">
        <f t="shared" ref="G61:J61" si="0">SUM(G4:G46)</f>
        <v>1</v>
      </c>
      <c r="H61" s="1">
        <f t="shared" si="0"/>
        <v>11</v>
      </c>
      <c r="I61" s="1">
        <f t="shared" si="0"/>
        <v>6</v>
      </c>
      <c r="J61" s="1">
        <f t="shared" si="0"/>
        <v>2</v>
      </c>
    </row>
    <row r="62" spans="1:13" x14ac:dyDescent="0.25">
      <c r="B62" s="12" t="s">
        <v>31</v>
      </c>
      <c r="C62" s="7" t="s">
        <v>32</v>
      </c>
      <c r="E62" s="1">
        <f>COUNTIFS(E3:E52,"=Escolas Rainha Santa Isabel")</f>
        <v>13</v>
      </c>
    </row>
    <row r="63" spans="1:13" x14ac:dyDescent="0.25">
      <c r="B63" s="12">
        <f>COUNT(B5:B52)</f>
        <v>24</v>
      </c>
      <c r="C63" s="7" t="s">
        <v>33</v>
      </c>
      <c r="E63" s="1">
        <f>COUNTIFS(E3:E52,"=Escolas Dr. Correia Mateus")</f>
        <v>0</v>
      </c>
    </row>
    <row r="64" spans="1:13" x14ac:dyDescent="0.25">
      <c r="C64" s="7" t="s">
        <v>67</v>
      </c>
      <c r="E64" s="1">
        <f>COUNTIFS(E3:E52,"=Escolas da Caranguejeira - Santa Catarina da Serra")</f>
        <v>0</v>
      </c>
    </row>
    <row r="65" spans="3:5" x14ac:dyDescent="0.25">
      <c r="C65" s="7" t="s">
        <v>35</v>
      </c>
      <c r="E65" s="1">
        <f>COUNTIFS(E3:E52,"=Escolas de Colmeias")</f>
        <v>0</v>
      </c>
    </row>
    <row r="66" spans="3:5" x14ac:dyDescent="0.25">
      <c r="C66" s="7" t="s">
        <v>36</v>
      </c>
      <c r="E66" s="1">
        <f>COUNTIFS(E3:E52,"=Escolas de Marrazes")</f>
        <v>0</v>
      </c>
    </row>
    <row r="67" spans="3:5" x14ac:dyDescent="0.25">
      <c r="C67" s="7" t="s">
        <v>37</v>
      </c>
      <c r="E67" s="1">
        <f>COUNTIFS(E3:E52,"=Escolas Domingos Sequeira")</f>
        <v>4</v>
      </c>
    </row>
    <row r="68" spans="3:5" x14ac:dyDescent="0.25">
      <c r="C68" s="7" t="s">
        <v>38</v>
      </c>
      <c r="E68" s="1">
        <f>COUNTIFS(E3:E52,"=Escolas D. Dinis")</f>
        <v>0</v>
      </c>
    </row>
    <row r="69" spans="3:5" x14ac:dyDescent="0.25">
      <c r="C69" s="7" t="s">
        <v>530</v>
      </c>
      <c r="E69" s="1">
        <f>COUNTIFS(E4:E53,"=Henrique Sommer")</f>
        <v>2</v>
      </c>
    </row>
    <row r="70" spans="3:5" x14ac:dyDescent="0.25">
      <c r="C70" s="7" t="s">
        <v>69</v>
      </c>
      <c r="E70" s="1">
        <f>SUM(E62:E68)</f>
        <v>17</v>
      </c>
    </row>
  </sheetData>
  <customSheetViews>
    <customSheetView guid="{7E850ADC-7020-4CE4-9656-1D37A8554340}" hiddenColumns="1" topLeftCell="A16">
      <selection activeCell="A29" sqref="A29"/>
      <pageMargins left="0" right="0" top="0" bottom="0" header="0" footer="0"/>
      <pageSetup paperSize="9" orientation="portrait" horizontalDpi="300" verticalDpi="300"/>
    </customSheetView>
    <customSheetView guid="{6C6D19B4-0AAB-4D39-9585-2246A62E9472}" hiddenColumns="1" topLeftCell="A16">
      <selection activeCell="A29" sqref="A29"/>
      <pageMargins left="0" right="0" top="0" bottom="0" header="0" footer="0"/>
      <pageSetup paperSize="9" orientation="portrait" horizontalDpi="300" verticalDpi="3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9"/>
  <sheetViews>
    <sheetView topLeftCell="B23" workbookViewId="0">
      <selection activeCell="F58" sqref="F58:J59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2.285156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12.42578125" style="1" bestFit="1" customWidth="1"/>
    <col min="11" max="11" width="101.8554687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73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808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2.75" x14ac:dyDescent="0.2">
      <c r="A5" s="11"/>
      <c r="B5" s="25">
        <v>46174</v>
      </c>
      <c r="C5" s="12" t="s">
        <v>292</v>
      </c>
      <c r="D5" s="12"/>
      <c r="E5" s="12" t="str">
        <f>IF(C5&gt;0,LOOKUP(C5,'Lista de Escolas'!$C$3:$C$178,'Lista de Escolas'!$E$3:$E$178),"")</f>
        <v>Henrique Sommer</v>
      </c>
      <c r="F5" s="12"/>
      <c r="G5" s="12"/>
      <c r="H5" s="12">
        <v>1</v>
      </c>
      <c r="I5" s="12"/>
      <c r="J5" s="12"/>
      <c r="K5" s="90" t="s">
        <v>768</v>
      </c>
      <c r="L5" s="12"/>
    </row>
    <row r="6" spans="1:13" s="4" customFormat="1" ht="15" customHeight="1" x14ac:dyDescent="0.2">
      <c r="A6" s="11"/>
      <c r="B6" s="25">
        <v>46174</v>
      </c>
      <c r="C6" s="3" t="s">
        <v>207</v>
      </c>
      <c r="D6" s="3"/>
      <c r="E6" s="12" t="str">
        <f>IF(C6&gt;0,LOOKUP(C6,'Lista de Escolas'!$C$3:$C$178,'Lista de Escolas'!$E$3:$E$178),"")</f>
        <v>Escolas Domingos Sequeira</v>
      </c>
      <c r="F6" s="12"/>
      <c r="G6" s="12"/>
      <c r="H6" s="12">
        <v>1</v>
      </c>
      <c r="I6" s="12"/>
      <c r="J6" s="3"/>
      <c r="K6" s="4" t="s">
        <v>771</v>
      </c>
      <c r="L6" s="3"/>
    </row>
    <row r="7" spans="1:13" s="4" customFormat="1" ht="15" customHeight="1" x14ac:dyDescent="0.2">
      <c r="A7" s="11"/>
      <c r="B7" s="25">
        <v>46174</v>
      </c>
      <c r="C7" s="3" t="s">
        <v>159</v>
      </c>
      <c r="D7" s="3"/>
      <c r="E7" s="12" t="str">
        <f>IF(C7&gt;0,LOOKUP(C7,'Lista de Escolas'!$C$3:$C$178,'Lista de Escolas'!$E$3:$E$178),"")</f>
        <v>Escolas Rainha Santa Isabel</v>
      </c>
      <c r="F7" s="12"/>
      <c r="G7" s="12"/>
      <c r="H7" s="12">
        <v>1</v>
      </c>
      <c r="I7" s="12"/>
      <c r="J7" s="3"/>
      <c r="K7" s="90" t="s">
        <v>768</v>
      </c>
      <c r="L7" s="3"/>
    </row>
    <row r="8" spans="1:13" s="4" customFormat="1" ht="12.75" x14ac:dyDescent="0.2">
      <c r="A8" s="11"/>
      <c r="B8" s="25">
        <v>46176</v>
      </c>
      <c r="C8" s="3" t="s">
        <v>207</v>
      </c>
      <c r="E8" s="12" t="str">
        <f>IF(C8&gt;0,LOOKUP(C8,'Lista de Escolas'!$C$3:$C$178,'Lista de Escolas'!$E$3:$E$178),"")</f>
        <v>Escolas Domingos Sequeira</v>
      </c>
      <c r="F8" s="12"/>
      <c r="G8" s="12"/>
      <c r="H8" s="12">
        <v>1</v>
      </c>
      <c r="I8" s="12"/>
      <c r="J8" s="3"/>
      <c r="K8" s="4" t="s">
        <v>778</v>
      </c>
      <c r="L8" s="3"/>
    </row>
    <row r="9" spans="1:13" s="4" customFormat="1" ht="15" customHeight="1" x14ac:dyDescent="0.2">
      <c r="A9" s="11"/>
      <c r="B9" s="25">
        <v>46189</v>
      </c>
      <c r="C9" s="12" t="s">
        <v>779</v>
      </c>
      <c r="D9" s="12"/>
      <c r="E9" s="12" t="str">
        <f>IF(C9&gt;0,LOOKUP(C9,'Lista de Escolas'!$C$3:$C$178,'Lista de Escolas'!$E$3:$E$178),"")</f>
        <v>Henrique Sommer</v>
      </c>
      <c r="F9" s="12"/>
      <c r="G9" s="12"/>
      <c r="H9" s="12">
        <v>1</v>
      </c>
      <c r="I9" s="12"/>
      <c r="J9" s="12"/>
      <c r="K9" s="91" t="s">
        <v>780</v>
      </c>
      <c r="L9" s="12"/>
    </row>
    <row r="10" spans="1:13" s="4" customFormat="1" ht="18" customHeight="1" x14ac:dyDescent="0.2">
      <c r="A10" s="11"/>
      <c r="B10" s="25">
        <v>46189</v>
      </c>
      <c r="C10" s="12" t="s">
        <v>52</v>
      </c>
      <c r="D10" s="3"/>
      <c r="E10" s="12" t="e">
        <f>IF(C10&gt;0,LOOKUP(C10,'Lista de Escolas'!$C$3:$C$178,'Lista de Escolas'!$E$3:$E$178),"")</f>
        <v>#N/A</v>
      </c>
      <c r="F10" s="12">
        <v>1</v>
      </c>
      <c r="G10" s="12">
        <v>1</v>
      </c>
      <c r="H10" s="12"/>
      <c r="I10" s="12">
        <v>1</v>
      </c>
      <c r="J10" s="12"/>
      <c r="K10" s="91" t="s">
        <v>791</v>
      </c>
      <c r="L10" s="12"/>
    </row>
    <row r="11" spans="1:13" s="4" customFormat="1" ht="15" customHeight="1" x14ac:dyDescent="0.2">
      <c r="A11" s="11"/>
      <c r="B11" s="25">
        <v>46189</v>
      </c>
      <c r="C11" s="3" t="s">
        <v>189</v>
      </c>
      <c r="D11" s="3"/>
      <c r="E11" s="12" t="e">
        <f>IF(C11&gt;0,LOOKUP(C11,'Lista de Escolas'!$C$3:$C$178,'Lista de Escolas'!$E$3:$E$178),"")</f>
        <v>#N/A</v>
      </c>
      <c r="F11" s="12">
        <v>1</v>
      </c>
      <c r="G11" s="12"/>
      <c r="H11" s="12"/>
      <c r="I11" s="12">
        <v>1</v>
      </c>
      <c r="J11" s="143"/>
      <c r="K11" s="91" t="s">
        <v>784</v>
      </c>
      <c r="L11" s="12"/>
    </row>
    <row r="12" spans="1:13" s="4" customFormat="1" ht="12.75" x14ac:dyDescent="0.2">
      <c r="A12" s="22"/>
      <c r="B12" s="25">
        <v>46189</v>
      </c>
      <c r="C12" s="12" t="s">
        <v>210</v>
      </c>
      <c r="D12" s="3"/>
      <c r="E12" s="12" t="str">
        <f>IF(C12&gt;0,LOOKUP(C12,'Lista de Escolas'!$C$3:$C$178,'Lista de Escolas'!$E$3:$E$178),"")</f>
        <v>Escolas Domingos Sequeira</v>
      </c>
      <c r="F12" s="12">
        <v>1</v>
      </c>
      <c r="G12" s="12"/>
      <c r="H12" s="12"/>
      <c r="I12" s="12">
        <v>1</v>
      </c>
      <c r="J12" s="12">
        <v>1</v>
      </c>
      <c r="K12" s="91" t="s">
        <v>781</v>
      </c>
      <c r="L12" s="12"/>
    </row>
    <row r="13" spans="1:13" x14ac:dyDescent="0.25">
      <c r="A13" s="22"/>
      <c r="B13" s="11">
        <v>46189</v>
      </c>
      <c r="C13" s="2" t="s">
        <v>57</v>
      </c>
      <c r="D13" s="3"/>
      <c r="E13" s="12" t="str">
        <f>IF(C13&gt;0,LOOKUP(C13,'Lista de Escolas'!$C$3:$C$178,'Lista de Escolas'!$E$3:$E$178),"")</f>
        <v>Escolas Rainha Santa Isabel</v>
      </c>
      <c r="F13" s="12"/>
      <c r="G13" s="12">
        <v>1</v>
      </c>
      <c r="H13" s="12">
        <v>1</v>
      </c>
      <c r="I13" s="12"/>
      <c r="J13" s="3">
        <v>1</v>
      </c>
      <c r="K13" s="4" t="s">
        <v>793</v>
      </c>
      <c r="L13" s="3" t="s">
        <v>792</v>
      </c>
      <c r="M13" s="3"/>
    </row>
    <row r="14" spans="1:13" x14ac:dyDescent="0.25">
      <c r="A14" s="22"/>
      <c r="B14" s="11">
        <v>46191</v>
      </c>
      <c r="C14" s="2" t="s">
        <v>52</v>
      </c>
      <c r="D14" s="3"/>
      <c r="E14" s="12" t="e">
        <f>IF(C14&gt;0,LOOKUP(C14,'Lista de Escolas'!$C$3:$C$178,'Lista de Escolas'!$E$3:$E$178),"")</f>
        <v>#N/A</v>
      </c>
      <c r="F14" s="12">
        <v>1</v>
      </c>
      <c r="G14" s="12"/>
      <c r="H14" s="12">
        <v>1</v>
      </c>
      <c r="I14" s="12"/>
      <c r="J14" s="3">
        <v>1</v>
      </c>
      <c r="K14" s="91" t="s">
        <v>785</v>
      </c>
      <c r="L14" s="3"/>
    </row>
    <row r="15" spans="1:13" s="13" customFormat="1" x14ac:dyDescent="0.2">
      <c r="A15" s="22"/>
      <c r="B15" s="25">
        <v>46191</v>
      </c>
      <c r="C15" s="3" t="s">
        <v>86</v>
      </c>
      <c r="D15" s="12"/>
      <c r="E15" s="12" t="str">
        <f>IF(C15&gt;0,LOOKUP(C15,'Lista de Escolas'!$C$3:$C$178,'Lista de Escolas'!$E$3:$E$178),"")</f>
        <v>Escolas Rainha Santa Isabel</v>
      </c>
      <c r="F15" s="12"/>
      <c r="G15" s="12">
        <v>1</v>
      </c>
      <c r="H15" s="12">
        <v>1</v>
      </c>
      <c r="I15" s="12">
        <v>1</v>
      </c>
      <c r="J15" s="3"/>
      <c r="K15" s="91" t="s">
        <v>786</v>
      </c>
      <c r="L15" s="12"/>
    </row>
    <row r="16" spans="1:13" x14ac:dyDescent="0.25">
      <c r="A16" s="22"/>
      <c r="B16" s="25">
        <v>46191</v>
      </c>
      <c r="C16" s="12" t="s">
        <v>159</v>
      </c>
      <c r="D16" s="3"/>
      <c r="E16" s="12" t="str">
        <f>IF(C16&gt;0,LOOKUP(C16,'Lista de Escolas'!$C$3:$C$178,'Lista de Escolas'!$E$3:$E$178),"")</f>
        <v>Escolas Rainha Santa Isabel</v>
      </c>
      <c r="F16" s="12">
        <v>1</v>
      </c>
      <c r="G16" s="12"/>
      <c r="H16" s="12"/>
      <c r="I16" s="12"/>
      <c r="J16" s="12"/>
      <c r="K16" s="91" t="s">
        <v>787</v>
      </c>
      <c r="L16" s="3"/>
    </row>
    <row r="17" spans="1:12" x14ac:dyDescent="0.25">
      <c r="A17" s="22"/>
      <c r="B17" s="25">
        <v>46191</v>
      </c>
      <c r="C17" s="3" t="s">
        <v>526</v>
      </c>
      <c r="D17" s="3"/>
      <c r="E17" s="12" t="e">
        <f>IF(C17&gt;0,LOOKUP(C17,'Lista de Escolas'!$C$3:$C$178,'Lista de Escolas'!$E$3:$E$178),"")</f>
        <v>#N/A</v>
      </c>
      <c r="F17" s="12"/>
      <c r="G17" s="12"/>
      <c r="H17" s="12">
        <v>1</v>
      </c>
      <c r="I17" s="12"/>
      <c r="J17" s="3"/>
      <c r="K17" s="4" t="s">
        <v>807</v>
      </c>
      <c r="L17" s="3"/>
    </row>
    <row r="18" spans="1:12" x14ac:dyDescent="0.25">
      <c r="A18" s="22"/>
      <c r="B18" s="25">
        <v>46202</v>
      </c>
      <c r="C18" s="3" t="s">
        <v>779</v>
      </c>
      <c r="D18" s="3"/>
      <c r="E18" s="12" t="str">
        <f>IF(C18&gt;0,LOOKUP(C18,'Lista de Escolas'!$C$3:$C$178,'Lista de Escolas'!$E$3:$E$178),"")</f>
        <v>Henrique Sommer</v>
      </c>
      <c r="F18" s="12"/>
      <c r="G18" s="12"/>
      <c r="H18" s="12">
        <v>1</v>
      </c>
      <c r="I18" s="12"/>
      <c r="J18" s="3"/>
      <c r="K18" s="4" t="s">
        <v>806</v>
      </c>
      <c r="L18" s="3"/>
    </row>
    <row r="19" spans="1:12" x14ac:dyDescent="0.25">
      <c r="A19" s="22"/>
      <c r="B19" s="25">
        <v>46202</v>
      </c>
      <c r="C19" s="12" t="s">
        <v>153</v>
      </c>
      <c r="D19" s="12"/>
      <c r="E19" s="12" t="str">
        <f>IF(C19&gt;0,LOOKUP(C19,'Lista de Escolas'!$C$3:$C$178,'Lista de Escolas'!$E$3:$E$178),"")</f>
        <v>Escolas Rainha Santa Isabel</v>
      </c>
      <c r="F19" s="12"/>
      <c r="G19" s="12"/>
      <c r="H19" s="12">
        <v>1</v>
      </c>
      <c r="I19" s="12"/>
      <c r="J19" s="12"/>
      <c r="K19" s="91" t="s">
        <v>809</v>
      </c>
      <c r="L19" s="12"/>
    </row>
    <row r="20" spans="1:12" x14ac:dyDescent="0.25">
      <c r="A20" s="22"/>
      <c r="B20" s="25"/>
      <c r="C20" s="12"/>
      <c r="D20" s="12"/>
      <c r="E20" s="12" t="str">
        <f>IF(C20&gt;0,LOOKUP(C20,'Lista de Escolas'!$C$3:$C$178,'Lista de Escolas'!$E$3:$E$178),"")</f>
        <v/>
      </c>
      <c r="F20" s="12"/>
      <c r="G20" s="12"/>
      <c r="H20" s="12"/>
      <c r="I20" s="12"/>
      <c r="J20" s="12"/>
      <c r="K20" s="91"/>
      <c r="L20" s="12"/>
    </row>
    <row r="21" spans="1:12" x14ac:dyDescent="0.25">
      <c r="A21" s="22"/>
      <c r="B21" s="25"/>
      <c r="C21" s="3"/>
      <c r="D21" s="3"/>
      <c r="E21" s="12" t="str">
        <f>IF(C21&gt;0,LOOKUP(C21,'Lista de Escolas'!$C$3:$C$178,'Lista de Escolas'!$E$3:$E$178),"")</f>
        <v/>
      </c>
      <c r="F21" s="12"/>
      <c r="G21" s="12"/>
      <c r="H21" s="12"/>
      <c r="I21" s="12"/>
      <c r="J21" s="3"/>
      <c r="K21" s="4"/>
      <c r="L21" s="3"/>
    </row>
    <row r="22" spans="1:12" x14ac:dyDescent="0.25">
      <c r="A22" s="22"/>
      <c r="B22" s="25"/>
      <c r="C22" s="3"/>
      <c r="D22" s="3"/>
      <c r="E22" s="12" t="str">
        <f>IF(C22&gt;0,LOOKUP(C22,'Lista de Escolas'!$C$3:$C$178,'Lista de Escolas'!$E$3:$E$178),"")</f>
        <v/>
      </c>
      <c r="F22" s="12"/>
      <c r="G22" s="12"/>
      <c r="H22" s="12"/>
      <c r="I22" s="12"/>
      <c r="J22" s="3"/>
      <c r="K22" s="4"/>
      <c r="L22" s="3"/>
    </row>
    <row r="23" spans="1:12" x14ac:dyDescent="0.25">
      <c r="A23" s="23"/>
      <c r="B23" s="25"/>
      <c r="C23" s="3"/>
      <c r="D23" s="3"/>
      <c r="E23" s="12" t="str">
        <f>IF(C23&gt;0,LOOKUP(C23,'Lista de Escolas'!$C$3:$C$178,'Lista de Escolas'!$E$3:$E$178),"")</f>
        <v/>
      </c>
      <c r="F23" s="12"/>
      <c r="G23" s="12"/>
      <c r="H23" s="12"/>
      <c r="I23" s="12"/>
      <c r="J23" s="3"/>
      <c r="K23" s="4"/>
      <c r="L23" s="3"/>
    </row>
    <row r="24" spans="1:12" x14ac:dyDescent="0.25">
      <c r="A24" s="23"/>
      <c r="B24" s="25"/>
      <c r="C24" s="3"/>
      <c r="D24" s="3"/>
      <c r="E24" s="12" t="str">
        <f>IF(C24&gt;0,LOOKUP(C24,'Lista de Escolas'!$C$3:$C$178,'Lista de Escolas'!$E$3:$E$178),"")</f>
        <v/>
      </c>
      <c r="F24" s="12"/>
      <c r="G24" s="12"/>
      <c r="H24" s="12"/>
      <c r="I24" s="12"/>
      <c r="J24" s="3"/>
      <c r="K24" s="4"/>
      <c r="L24" s="3"/>
    </row>
    <row r="25" spans="1:12" x14ac:dyDescent="0.25">
      <c r="A25" s="23"/>
      <c r="B25" s="25"/>
      <c r="C25" s="3"/>
      <c r="D25" s="3"/>
      <c r="E25" s="12" t="str">
        <f>IF(C25&gt;0,LOOKUP(C25,'Lista de Escolas'!$C$3:$C$178,'Lista de Escolas'!$E$3:$E$178),"")</f>
        <v/>
      </c>
      <c r="F25" s="12"/>
      <c r="G25" s="12"/>
      <c r="H25" s="12"/>
      <c r="I25" s="12"/>
      <c r="J25" s="3"/>
      <c r="K25" s="4"/>
      <c r="L25" s="3"/>
    </row>
    <row r="26" spans="1:12" x14ac:dyDescent="0.25">
      <c r="A26" s="23"/>
      <c r="B26" s="25"/>
      <c r="C26" s="3"/>
      <c r="D26" s="3"/>
      <c r="E26" s="12" t="str">
        <f>IF(C26&gt;0,LOOKUP(C26,'Lista de Escolas'!$C$3:$C$178,'Lista de Escolas'!$E$3:$E$178),"")</f>
        <v/>
      </c>
      <c r="F26" s="12"/>
      <c r="G26" s="12"/>
      <c r="H26" s="12"/>
      <c r="I26" s="12"/>
      <c r="J26" s="3"/>
      <c r="K26" s="4"/>
      <c r="L26" s="3"/>
    </row>
    <row r="27" spans="1:12" x14ac:dyDescent="0.25">
      <c r="A27" s="22"/>
      <c r="B27" s="25"/>
      <c r="C27" s="12"/>
      <c r="D27" s="12"/>
      <c r="E27" s="12" t="str">
        <f>IF(C27&gt;0,LOOKUP(C27,'Lista de Escolas'!$C$3:$C$178,'Lista de Escolas'!$E$3:$E$178),"")</f>
        <v/>
      </c>
      <c r="F27" s="12"/>
      <c r="G27" s="12"/>
      <c r="H27" s="12"/>
      <c r="I27" s="12"/>
      <c r="J27" s="12"/>
      <c r="K27" s="91"/>
      <c r="L27" s="12"/>
    </row>
    <row r="28" spans="1:12" x14ac:dyDescent="0.25">
      <c r="A28" s="22"/>
      <c r="B28" s="25"/>
      <c r="C28" s="12"/>
      <c r="D28" s="12"/>
      <c r="E28" s="12" t="str">
        <f>IF(C28&gt;0,LOOKUP(C28,'Lista de Escolas'!$C$3:$C$178,'Lista de Escolas'!$E$3:$E$178),"")</f>
        <v/>
      </c>
      <c r="F28" s="12"/>
      <c r="G28" s="12"/>
      <c r="H28" s="12"/>
      <c r="I28" s="12"/>
      <c r="J28" s="12"/>
      <c r="K28" s="14"/>
      <c r="L28" s="12"/>
    </row>
    <row r="29" spans="1:12" x14ac:dyDescent="0.25">
      <c r="A29" s="22"/>
      <c r="B29" s="25"/>
      <c r="C29" s="3"/>
      <c r="D29" s="3"/>
      <c r="E29" s="12" t="str">
        <f>IF(C29&gt;0,LOOKUP(C29,'Lista de Escolas'!$C$3:$C$178,'Lista de Escolas'!$E$3:$E$178),"")</f>
        <v/>
      </c>
      <c r="F29" s="12"/>
      <c r="G29" s="12"/>
      <c r="H29" s="12"/>
      <c r="I29" s="12"/>
      <c r="J29" s="3"/>
      <c r="K29" s="5"/>
      <c r="L29" s="3"/>
    </row>
    <row r="30" spans="1:12" x14ac:dyDescent="0.25">
      <c r="A30" s="22"/>
      <c r="B30" s="25"/>
      <c r="C30" s="12"/>
      <c r="D30" s="12"/>
      <c r="E30" s="12" t="str">
        <f>IF(C30&gt;0,LOOKUP(C30,'Lista de Escolas'!$C$3:$C$178,'Lista de Escolas'!$E$3:$E$178),"")</f>
        <v/>
      </c>
      <c r="F30" s="12"/>
      <c r="G30" s="12"/>
      <c r="H30" s="12"/>
      <c r="I30" s="12"/>
      <c r="J30" s="12"/>
      <c r="K30" s="14"/>
      <c r="L30" s="12"/>
    </row>
    <row r="31" spans="1:12" x14ac:dyDescent="0.25">
      <c r="A31" s="22"/>
      <c r="B31" s="25"/>
      <c r="C31" s="3"/>
      <c r="D31" s="3"/>
      <c r="E31" s="12" t="str">
        <f>IF(C31&gt;0,LOOKUP(C31,'Lista de Escolas'!$C$3:$C$178,'Lista de Escolas'!$E$3:$E$178),"")</f>
        <v/>
      </c>
      <c r="F31" s="12"/>
      <c r="G31" s="12"/>
      <c r="H31" s="12"/>
      <c r="I31" s="12"/>
      <c r="J31" s="3"/>
      <c r="K31" s="5"/>
      <c r="L31" s="3"/>
    </row>
    <row r="32" spans="1:12" x14ac:dyDescent="0.25">
      <c r="A32" s="22"/>
      <c r="B32" s="22"/>
      <c r="C32" s="12"/>
      <c r="D32" s="12"/>
      <c r="E32" s="12" t="str">
        <f>IF(C32&gt;0,LOOKUP(C32,'Lista de Escolas'!$C$3:$C$178,'Lista de Escolas'!$E$3:$E$178),"")</f>
        <v/>
      </c>
      <c r="F32" s="12"/>
      <c r="G32" s="12"/>
      <c r="H32" s="12"/>
      <c r="I32" s="12"/>
      <c r="J32" s="12"/>
      <c r="K32" s="14"/>
      <c r="L32" s="3"/>
    </row>
    <row r="33" spans="1:13" x14ac:dyDescent="0.25">
      <c r="A33" s="23"/>
      <c r="B33" s="94"/>
      <c r="C33" s="3"/>
      <c r="D33" s="3"/>
      <c r="E33" s="12" t="str">
        <f>IF(C33&gt;0,LOOKUP(C33,'Lista de Escolas'!$C$3:$C$178,'Lista de Escolas'!$E$3:$E$178),"")</f>
        <v/>
      </c>
      <c r="F33" s="12"/>
      <c r="G33" s="12"/>
      <c r="H33" s="12"/>
      <c r="I33" s="12"/>
      <c r="J33" s="3"/>
      <c r="K33" s="5"/>
      <c r="L33" s="3"/>
    </row>
    <row r="34" spans="1:13" x14ac:dyDescent="0.25">
      <c r="A34" s="23"/>
      <c r="B34" s="94"/>
      <c r="E34" s="12" t="str">
        <f>IF(C34&gt;0,LOOKUP(C34,'Lista de Escolas'!$C$3:$C$178,'Lista de Escolas'!$E$3:$E$178),"")</f>
        <v/>
      </c>
      <c r="F34" s="12"/>
      <c r="G34" s="12"/>
      <c r="H34" s="12"/>
      <c r="I34" s="12"/>
    </row>
    <row r="35" spans="1:13" x14ac:dyDescent="0.25">
      <c r="A35" s="22"/>
      <c r="B35" s="22"/>
      <c r="C35" s="23"/>
      <c r="D35" s="23"/>
      <c r="E35" s="12" t="str">
        <f>IF(C35&gt;0,LOOKUP(C35,'Lista de Escolas'!$C$3:$C$178,'Lista de Escolas'!$E$3:$E$178),"")</f>
        <v/>
      </c>
      <c r="F35" s="12"/>
      <c r="G35" s="12"/>
      <c r="H35" s="12"/>
      <c r="I35" s="12"/>
      <c r="J35" s="23"/>
      <c r="K35" s="24"/>
      <c r="L35" s="23"/>
      <c r="M35" s="92"/>
    </row>
    <row r="36" spans="1:13" x14ac:dyDescent="0.25">
      <c r="A36" s="23"/>
      <c r="B36" s="22"/>
      <c r="C36" s="20"/>
      <c r="D36" s="20"/>
      <c r="E36" s="12" t="str">
        <f>IF(C36&gt;0,LOOKUP(C36,'Lista de Escolas'!$C$3:$C$178,'Lista de Escolas'!$E$3:$E$178),"")</f>
        <v/>
      </c>
      <c r="F36" s="12"/>
      <c r="G36" s="12"/>
      <c r="H36" s="12"/>
      <c r="I36" s="12"/>
      <c r="J36" s="20"/>
      <c r="K36" s="21"/>
      <c r="L36" s="20"/>
      <c r="M36" s="92"/>
    </row>
    <row r="37" spans="1:13" x14ac:dyDescent="0.25">
      <c r="A37" s="22"/>
      <c r="B37" s="22"/>
      <c r="C37" s="20"/>
      <c r="D37" s="20"/>
      <c r="E37" s="12" t="str">
        <f>IF(C37&gt;0,LOOKUP(C37,'Lista de Escolas'!$C$3:$C$178,'Lista de Escolas'!$E$3:$E$178),"")</f>
        <v/>
      </c>
      <c r="F37" s="12"/>
      <c r="G37" s="12"/>
      <c r="H37" s="12"/>
      <c r="I37" s="12"/>
      <c r="J37" s="20"/>
      <c r="K37" s="21"/>
      <c r="L37" s="23"/>
      <c r="M37" s="92"/>
    </row>
    <row r="38" spans="1:13" x14ac:dyDescent="0.25">
      <c r="A38" s="22"/>
      <c r="B38" s="22"/>
      <c r="C38" s="23"/>
      <c r="D38" s="23"/>
      <c r="E38" s="12" t="str">
        <f>IF(C38&gt;0,LOOKUP(C38,'Lista de Escolas'!$C$3:$C$178,'Lista de Escolas'!$E$3:$E$178),"")</f>
        <v/>
      </c>
      <c r="F38" s="12"/>
      <c r="G38" s="12"/>
      <c r="H38" s="12"/>
      <c r="I38" s="12"/>
      <c r="J38" s="23"/>
      <c r="K38" s="24"/>
      <c r="L38" s="23"/>
      <c r="M38" s="92"/>
    </row>
    <row r="39" spans="1:13" x14ac:dyDescent="0.25">
      <c r="A39" s="23"/>
      <c r="B39" s="22"/>
      <c r="C39" s="23"/>
      <c r="D39" s="23"/>
      <c r="E39" s="12" t="str">
        <f>IF(C39&gt;0,LOOKUP(C39,'Lista de Escolas'!$C$3:$C$178,'Lista de Escolas'!$E$3:$E$178),"")</f>
        <v/>
      </c>
      <c r="F39" s="12"/>
      <c r="G39" s="12"/>
      <c r="H39" s="12"/>
      <c r="I39" s="12"/>
      <c r="J39" s="23"/>
      <c r="K39" s="24"/>
      <c r="L39" s="23"/>
      <c r="M39" s="92"/>
    </row>
    <row r="40" spans="1:13" x14ac:dyDescent="0.25">
      <c r="A40" s="22"/>
      <c r="B40" s="22"/>
      <c r="C40" s="20"/>
      <c r="D40" s="20"/>
      <c r="E40" s="12" t="str">
        <f>IF(C40&gt;0,LOOKUP(C40,'Lista de Escolas'!$C$3:$C$178,'Lista de Escolas'!$E$3:$E$178),"")</f>
        <v/>
      </c>
      <c r="F40" s="12"/>
      <c r="G40" s="12"/>
      <c r="H40" s="12"/>
      <c r="I40" s="12"/>
      <c r="J40" s="20"/>
      <c r="K40" s="21"/>
      <c r="L40" s="23"/>
      <c r="M40" s="92"/>
    </row>
    <row r="41" spans="1:13" x14ac:dyDescent="0.25">
      <c r="A41" s="22"/>
      <c r="B41" s="22"/>
      <c r="C41" s="23"/>
      <c r="D41" s="23"/>
      <c r="E41" s="12" t="str">
        <f>IF(C41&gt;0,LOOKUP(C41,'Lista de Escolas'!$C$3:$C$178,'Lista de Escolas'!$E$3:$E$178),"")</f>
        <v/>
      </c>
      <c r="F41" s="12"/>
      <c r="G41" s="12"/>
      <c r="H41" s="12"/>
      <c r="I41" s="12"/>
      <c r="J41" s="23"/>
      <c r="K41" s="24"/>
      <c r="L41" s="23"/>
      <c r="M41" s="92"/>
    </row>
    <row r="42" spans="1:13" x14ac:dyDescent="0.25">
      <c r="A42" s="22"/>
      <c r="B42" s="22"/>
      <c r="C42" s="20"/>
      <c r="D42" s="20"/>
      <c r="E42" s="12" t="str">
        <f>IF(C42&gt;0,LOOKUP(C42,'Lista de Escolas'!$C$3:$C$178,'Lista de Escolas'!$E$3:$E$178),"")</f>
        <v/>
      </c>
      <c r="F42" s="12"/>
      <c r="G42" s="12"/>
      <c r="H42" s="12"/>
      <c r="I42" s="12"/>
      <c r="J42" s="20"/>
      <c r="K42" s="21"/>
      <c r="L42" s="23"/>
      <c r="M42" s="92"/>
    </row>
    <row r="43" spans="1:13" x14ac:dyDescent="0.25">
      <c r="A43" s="22"/>
      <c r="B43" s="22"/>
      <c r="C43" s="23"/>
      <c r="D43" s="23"/>
      <c r="E43" s="12" t="str">
        <f>IF(C43&gt;0,LOOKUP(C43,'Lista de Escolas'!$C$3:$C$178,'Lista de Escolas'!$E$3:$E$178),"")</f>
        <v/>
      </c>
      <c r="F43" s="12"/>
      <c r="G43" s="12"/>
      <c r="H43" s="12"/>
      <c r="I43" s="12"/>
      <c r="J43" s="23"/>
      <c r="K43" s="24"/>
      <c r="L43" s="23"/>
      <c r="M43" s="92"/>
    </row>
    <row r="44" spans="1:13" x14ac:dyDescent="0.25">
      <c r="A44" s="23"/>
      <c r="B44" s="22"/>
      <c r="C44" s="20"/>
      <c r="D44" s="20"/>
      <c r="E44" s="12" t="str">
        <f>IF(C44&gt;0,LOOKUP(C44,'Lista de Escolas'!$C$3:$C$178,'Lista de Escolas'!$E$3:$E$178),"")</f>
        <v/>
      </c>
      <c r="F44" s="12"/>
      <c r="G44" s="12"/>
      <c r="H44" s="12"/>
      <c r="I44" s="12"/>
      <c r="J44" s="20"/>
      <c r="K44" s="21"/>
      <c r="L44" s="20"/>
      <c r="M44" s="92"/>
    </row>
    <row r="45" spans="1:13" x14ac:dyDescent="0.25">
      <c r="A45" s="22"/>
      <c r="B45" s="22"/>
      <c r="C45" s="20"/>
      <c r="D45" s="20"/>
      <c r="E45" s="12" t="str">
        <f>IF(C45&gt;0,LOOKUP(C45,'Lista de Escolas'!$C$3:$C$178,'Lista de Escolas'!$E$3:$E$178),"")</f>
        <v/>
      </c>
      <c r="F45" s="12"/>
      <c r="G45" s="12"/>
      <c r="H45" s="12"/>
      <c r="I45" s="12"/>
      <c r="J45" s="20"/>
      <c r="K45" s="21"/>
      <c r="L45" s="20"/>
      <c r="M45" s="92"/>
    </row>
    <row r="46" spans="1:13" x14ac:dyDescent="0.25">
      <c r="A46" s="22"/>
      <c r="B46" s="22"/>
      <c r="C46" s="20"/>
      <c r="D46" s="20"/>
      <c r="E46" s="12" t="str">
        <f>IF(C46&gt;0,LOOKUP(C46,'Lista de Escolas'!$C$3:$C$178,'Lista de Escolas'!$E$3:$E$178),"")</f>
        <v/>
      </c>
      <c r="F46" s="12"/>
      <c r="G46" s="12"/>
      <c r="H46" s="12"/>
      <c r="I46" s="12"/>
      <c r="J46" s="20"/>
      <c r="K46" s="21"/>
      <c r="L46" s="20"/>
      <c r="M46" s="92"/>
    </row>
    <row r="47" spans="1:13" x14ac:dyDescent="0.25">
      <c r="A47" s="23"/>
      <c r="B47" s="22"/>
      <c r="C47" s="23"/>
      <c r="D47" s="20"/>
      <c r="E47" s="12" t="str">
        <f>IF(C47&gt;0,LOOKUP(C47,'Lista de Escolas'!$C$3:$C$178,'Lista de Escolas'!$E$3:$E$178),"")</f>
        <v/>
      </c>
      <c r="F47" s="12"/>
      <c r="G47" s="12"/>
      <c r="H47" s="12"/>
      <c r="I47" s="12"/>
      <c r="J47" s="23"/>
      <c r="K47" s="24"/>
      <c r="L47" s="23"/>
      <c r="M47" s="92"/>
    </row>
    <row r="48" spans="1:13" x14ac:dyDescent="0.25">
      <c r="A48" s="23"/>
      <c r="B48" s="22"/>
      <c r="C48" s="20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0"/>
      <c r="K48" s="21"/>
      <c r="L48" s="20"/>
      <c r="M48" s="92"/>
    </row>
    <row r="49" spans="1:13" x14ac:dyDescent="0.25">
      <c r="A49" s="22"/>
      <c r="B49" s="22"/>
      <c r="C49" s="20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0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0"/>
      <c r="K50" s="21"/>
      <c r="L50" s="20"/>
      <c r="M50" s="92"/>
    </row>
    <row r="51" spans="1:13" x14ac:dyDescent="0.25">
      <c r="A51" s="22"/>
      <c r="B51" s="22"/>
      <c r="C51" s="20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0"/>
      <c r="K51" s="21"/>
      <c r="L51" s="23"/>
      <c r="M51" s="92"/>
    </row>
    <row r="52" spans="1:13" x14ac:dyDescent="0.25">
      <c r="C52" s="20"/>
      <c r="D52" s="20"/>
      <c r="E52" s="12" t="str">
        <f>IF(C52&gt;0,LOOKUP(C52,'Lista de Escolas'!$C$3:$C$178,'Lista de Escolas'!$E$3:$E$178),"")</f>
        <v/>
      </c>
      <c r="F52" s="12"/>
      <c r="G52" s="12"/>
      <c r="H52" s="12"/>
      <c r="I52" s="12"/>
      <c r="J52" s="20"/>
      <c r="K52" s="21"/>
      <c r="L52" s="20"/>
      <c r="M52" s="92"/>
    </row>
    <row r="53" spans="1:13" x14ac:dyDescent="0.25">
      <c r="E53" s="12" t="str">
        <f>IF(C53&gt;0,LOOKUP(C53,'Lista de Escolas'!$C$3:$C$178,'Lista de Escolas'!$E$3:$E$178),"")</f>
        <v/>
      </c>
      <c r="F53" s="12"/>
      <c r="G53" s="12"/>
      <c r="H53" s="12"/>
      <c r="I53" s="12"/>
    </row>
    <row r="54" spans="1:13" x14ac:dyDescent="0.25">
      <c r="E54" s="12" t="str">
        <f>IF(C54&gt;0,LOOKUP(C54,'Lista de Escolas'!$C$3:$C$178,'Lista de Escolas'!$E$3:$E$178),"")</f>
        <v/>
      </c>
      <c r="F54" s="12"/>
      <c r="G54" s="12"/>
      <c r="H54" s="12"/>
      <c r="I54" s="12"/>
    </row>
    <row r="55" spans="1:13" x14ac:dyDescent="0.25">
      <c r="E55" s="12" t="str">
        <f>IF(C55&gt;0,LOOKUP(C55,'Lista de Escolas'!$C$3:$C$178,'Lista de Escolas'!$E$3:$E$178),"")</f>
        <v/>
      </c>
      <c r="F55" s="12"/>
      <c r="G55" s="12"/>
      <c r="H55" s="12"/>
      <c r="I55" s="12"/>
    </row>
    <row r="56" spans="1:13" x14ac:dyDescent="0.25">
      <c r="E56" s="12" t="str">
        <f>IF(C56&gt;0,LOOKUP(C56,'Lista de Escolas'!$C$3:$C$178,'Lista de Escolas'!$E$3:$E$178),"")</f>
        <v/>
      </c>
      <c r="F56" s="12"/>
      <c r="G56" s="12"/>
      <c r="H56" s="12"/>
      <c r="I56" s="12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Escolas'!$C$3:$C$178,'Lista de Escolas'!$E$3:$E$178),"")</f>
        <v/>
      </c>
      <c r="F58" s="1" t="s">
        <v>595</v>
      </c>
      <c r="G58" s="1" t="s">
        <v>597</v>
      </c>
      <c r="H58" s="1" t="s">
        <v>598</v>
      </c>
      <c r="I58" s="1" t="s">
        <v>596</v>
      </c>
      <c r="J58" s="17" t="s">
        <v>604</v>
      </c>
    </row>
    <row r="59" spans="1:13" x14ac:dyDescent="0.25">
      <c r="E59" s="12" t="str">
        <f>IF(C59&gt;0,LOOKUP(C59,'Lista de Escolas'!$C$3:$C$178,'Lista de Escolas'!$E$3:$E$178),"")</f>
        <v/>
      </c>
      <c r="F59" s="1">
        <f>SUM(F5:F47)</f>
        <v>5</v>
      </c>
      <c r="G59" s="1">
        <f>SUM(G5:G47)</f>
        <v>3</v>
      </c>
      <c r="H59" s="1">
        <f>SUM(H5:H47)</f>
        <v>11</v>
      </c>
      <c r="I59" s="1">
        <f>SUM(I5:I47)</f>
        <v>4</v>
      </c>
      <c r="J59" s="1">
        <f>SUM(J5:J47)</f>
        <v>3</v>
      </c>
    </row>
    <row r="61" spans="1:13" x14ac:dyDescent="0.25">
      <c r="B61" s="12" t="s">
        <v>31</v>
      </c>
      <c r="C61" s="1" t="s">
        <v>32</v>
      </c>
      <c r="E61" s="1">
        <f>COUNTIFS(E3:E58,"=Escolas Rainha Santa Isabel")</f>
        <v>5</v>
      </c>
    </row>
    <row r="62" spans="1:13" x14ac:dyDescent="0.25">
      <c r="B62" s="12">
        <f>COUNT(B5:B60)</f>
        <v>15</v>
      </c>
      <c r="C62" s="1" t="s">
        <v>33</v>
      </c>
      <c r="E62" s="1">
        <f>COUNTIFS(E3:E51,"=Escolas Dr. Correia Mateus")</f>
        <v>0</v>
      </c>
    </row>
    <row r="63" spans="1:13" x14ac:dyDescent="0.25">
      <c r="C63" s="1" t="s">
        <v>67</v>
      </c>
      <c r="E63" s="1">
        <f>COUNTIFS(E3:E51,"=Escolas da Caranguejeira - Santa Catarina da Serra")</f>
        <v>0</v>
      </c>
    </row>
    <row r="64" spans="1:13" x14ac:dyDescent="0.25">
      <c r="C64" s="1" t="s">
        <v>35</v>
      </c>
      <c r="E64" s="1">
        <f>COUNTIFS(E3:E51,"=Escolas de Colmeias")</f>
        <v>0</v>
      </c>
    </row>
    <row r="65" spans="3:5" x14ac:dyDescent="0.25">
      <c r="C65" s="1" t="s">
        <v>36</v>
      </c>
      <c r="E65" s="1">
        <f>COUNTIFS(E3:E51,"=Escolas de Marrazes")</f>
        <v>0</v>
      </c>
    </row>
    <row r="66" spans="3:5" x14ac:dyDescent="0.25">
      <c r="C66" s="1" t="s">
        <v>37</v>
      </c>
      <c r="E66" s="1">
        <f>COUNTIFS(E3:E51,"=Escolas Domingos Sequeira")</f>
        <v>3</v>
      </c>
    </row>
    <row r="67" spans="3:5" x14ac:dyDescent="0.25">
      <c r="C67" s="1" t="s">
        <v>38</v>
      </c>
      <c r="E67" s="1">
        <f>COUNTIFS(E3:E51,"=Escolas D. Dinis")</f>
        <v>0</v>
      </c>
    </row>
    <row r="68" spans="3:5" x14ac:dyDescent="0.25">
      <c r="C68" s="1" t="s">
        <v>68</v>
      </c>
      <c r="E68" s="1">
        <f>COUNTIFS(E4:E52,"=Henrique Sommer")</f>
        <v>3</v>
      </c>
    </row>
    <row r="69" spans="3:5" x14ac:dyDescent="0.25">
      <c r="C69" s="1" t="s">
        <v>69</v>
      </c>
      <c r="E69" s="1">
        <f>SUM(E61:E68)</f>
        <v>11</v>
      </c>
    </row>
  </sheetData>
  <customSheetViews>
    <customSheetView guid="{7E850ADC-7020-4CE4-9656-1D37A8554340}" hiddenColumns="1">
      <selection activeCell="C12" sqref="C12"/>
      <pageMargins left="0" right="0" top="0" bottom="0" header="0" footer="0"/>
      <pageSetup paperSize="9" orientation="portrait" horizontalDpi="1200" verticalDpi="1200"/>
    </customSheetView>
    <customSheetView guid="{6C6D19B4-0AAB-4D39-9585-2246A62E9472}" hiddenColumns="1">
      <selection activeCell="C12" sqref="C12"/>
      <pageMargins left="0" right="0" top="0" bottom="0" header="0" footer="0"/>
      <pageSetup paperSize="9" orientation="portrait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8"/>
  <sheetViews>
    <sheetView zoomScaleNormal="100" workbookViewId="0">
      <selection activeCell="F11" sqref="F11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2.285156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1" customWidth="1"/>
    <col min="11" max="11" width="101.8554687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75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2.75" x14ac:dyDescent="0.2">
      <c r="A5" s="11"/>
      <c r="B5" s="6">
        <v>46205</v>
      </c>
      <c r="C5" s="4" t="s">
        <v>159</v>
      </c>
      <c r="D5" s="12"/>
      <c r="E5" s="12" t="str">
        <f>IF(C5&gt;0,LOOKUP(C5,'Lista de Escolas'!$C$3:$C$176,'Lista de Escolas'!$E$3:$E$176),"")</f>
        <v>Escolas Rainha Santa Isabel</v>
      </c>
      <c r="F5" s="12">
        <v>1</v>
      </c>
      <c r="G5" s="12"/>
      <c r="H5" s="12"/>
      <c r="I5" s="12">
        <v>1</v>
      </c>
      <c r="J5" s="12"/>
      <c r="K5" s="90" t="s">
        <v>810</v>
      </c>
      <c r="L5" s="12" t="s">
        <v>539</v>
      </c>
    </row>
    <row r="6" spans="1:13" s="4" customFormat="1" ht="12.75" x14ac:dyDescent="0.2">
      <c r="A6" s="11"/>
      <c r="B6" s="25">
        <v>46212</v>
      </c>
      <c r="C6" s="12" t="s">
        <v>619</v>
      </c>
      <c r="D6" s="12"/>
      <c r="E6" s="12" t="str">
        <f>IF(C6&gt;0,LOOKUP(C6,'Lista de Escolas'!$C$3:$C$176,'Lista de Escolas'!$E$3:$E$176),"")</f>
        <v>Escolas Rainha Santa Isabel</v>
      </c>
      <c r="F6" s="12"/>
      <c r="G6" s="12">
        <v>1</v>
      </c>
      <c r="H6" s="12">
        <v>1</v>
      </c>
      <c r="I6" s="12"/>
      <c r="J6" s="12"/>
      <c r="K6" s="90" t="s">
        <v>816</v>
      </c>
      <c r="L6" s="12" t="s">
        <v>64</v>
      </c>
    </row>
    <row r="7" spans="1:13" s="4" customFormat="1" ht="15" customHeight="1" x14ac:dyDescent="0.2">
      <c r="A7" s="11"/>
      <c r="B7" s="6">
        <v>46212</v>
      </c>
      <c r="C7" s="3" t="s">
        <v>230</v>
      </c>
      <c r="E7" s="12" t="str">
        <f>IF(C7&gt;0,LOOKUP(C7,'Lista de Escolas'!$C$3:$C$176,'Lista de Escolas'!$E$3:$E$176),"")</f>
        <v>Escolas Rainha Santa Isabel</v>
      </c>
      <c r="F7" s="12">
        <v>1</v>
      </c>
      <c r="G7" s="12"/>
      <c r="H7" s="12">
        <v>1</v>
      </c>
      <c r="I7" s="12"/>
      <c r="J7" s="3"/>
      <c r="K7" s="4" t="s">
        <v>817</v>
      </c>
      <c r="L7" s="3"/>
    </row>
    <row r="8" spans="1:13" s="4" customFormat="1" ht="12.75" x14ac:dyDescent="0.2">
      <c r="A8" s="11"/>
      <c r="B8" s="25">
        <v>46216</v>
      </c>
      <c r="C8" s="3" t="s">
        <v>819</v>
      </c>
      <c r="D8" s="3"/>
      <c r="E8" s="12" t="str">
        <f>IF(C8&gt;0,LOOKUP(C8,'Lista de Escolas'!$C$3:$C$176,'Lista de Escolas'!$E$3:$E$176),"")</f>
        <v>Escolas Domingos Sequeira</v>
      </c>
      <c r="F8" s="12">
        <v>1</v>
      </c>
      <c r="G8" s="12"/>
      <c r="H8" s="12"/>
      <c r="I8" s="12"/>
      <c r="J8" s="3">
        <v>1</v>
      </c>
      <c r="K8" s="4" t="s">
        <v>820</v>
      </c>
      <c r="L8" s="12"/>
    </row>
    <row r="9" spans="1:13" s="4" customFormat="1" ht="15" customHeight="1" x14ac:dyDescent="0.2">
      <c r="A9" s="11"/>
      <c r="B9" s="25">
        <v>46216</v>
      </c>
      <c r="C9" s="12" t="s">
        <v>83</v>
      </c>
      <c r="D9" s="12"/>
      <c r="E9" s="12" t="str">
        <f>IF(C9&gt;0,LOOKUP(C9,'Lista de Escolas'!$C$3:$C$176,'Lista de Escolas'!$E$3:$E$176),"")</f>
        <v>Escolas Rainha Santa Isabel</v>
      </c>
      <c r="F9" s="12"/>
      <c r="G9" s="12"/>
      <c r="H9" s="12">
        <v>1</v>
      </c>
      <c r="I9" s="12"/>
      <c r="J9" s="12"/>
      <c r="K9" s="91" t="s">
        <v>821</v>
      </c>
      <c r="L9" s="3"/>
    </row>
    <row r="10" spans="1:13" s="4" customFormat="1" ht="17.25" customHeight="1" x14ac:dyDescent="0.2">
      <c r="A10" s="11"/>
      <c r="B10" s="25">
        <v>46217</v>
      </c>
      <c r="C10" s="12" t="s">
        <v>139</v>
      </c>
      <c r="D10" s="3"/>
      <c r="E10" s="12" t="str">
        <f>IF(C10&gt;0,LOOKUP(C10,'Lista de Escolas'!$C$3:$C$176,'Lista de Escolas'!$E$3:$E$176),"")</f>
        <v>Escolas Domingos Sequeira</v>
      </c>
      <c r="F10" s="12">
        <v>1</v>
      </c>
      <c r="G10" s="12"/>
      <c r="H10" s="12"/>
      <c r="I10" s="12"/>
      <c r="J10" s="3">
        <v>1</v>
      </c>
      <c r="K10" s="4" t="s">
        <v>823</v>
      </c>
      <c r="L10" s="12"/>
    </row>
    <row r="11" spans="1:13" s="4" customFormat="1" ht="15" customHeight="1" x14ac:dyDescent="0.2">
      <c r="A11" s="11"/>
      <c r="B11" s="25">
        <v>46217</v>
      </c>
      <c r="C11" s="108" t="s">
        <v>25</v>
      </c>
      <c r="D11" s="12"/>
      <c r="E11" s="12" t="str">
        <f>IF(C11&gt;0,LOOKUP(C11,'Lista de Escolas'!$C$3:$C$176,'Lista de Escolas'!$E$3:$E$176),"")</f>
        <v>Escolas Domingos Sequeira</v>
      </c>
      <c r="F11" s="12"/>
      <c r="G11" s="12"/>
      <c r="H11" s="12"/>
      <c r="I11" s="12"/>
      <c r="J11" s="12"/>
      <c r="K11" s="90"/>
      <c r="L11" s="12"/>
    </row>
    <row r="12" spans="1:13" s="4" customFormat="1" ht="12.75" x14ac:dyDescent="0.2">
      <c r="A12" s="22"/>
      <c r="B12" s="25"/>
      <c r="C12" s="3"/>
      <c r="D12" s="3"/>
      <c r="E12" s="12" t="str">
        <f>IF(C12&gt;0,LOOKUP(C12,'Lista de Escolas'!$C$3:$C$176,'Lista de Escolas'!$E$3:$E$176),"")</f>
        <v/>
      </c>
      <c r="F12" s="12"/>
      <c r="G12" s="12"/>
      <c r="H12" s="12"/>
      <c r="I12" s="12"/>
      <c r="J12" s="3"/>
      <c r="L12" s="12"/>
    </row>
    <row r="13" spans="1:13" x14ac:dyDescent="0.25">
      <c r="A13" s="22"/>
      <c r="B13" s="25"/>
      <c r="C13" s="12"/>
      <c r="D13" s="3"/>
      <c r="E13" s="12" t="str">
        <f>IF(C13&gt;0,LOOKUP(C13,'Lista de Escolas'!$C$3:$C$176,'Lista de Escolas'!$E$3:$E$176),"")</f>
        <v/>
      </c>
      <c r="F13" s="12"/>
      <c r="G13" s="12"/>
      <c r="H13" s="12"/>
      <c r="I13" s="12"/>
      <c r="J13" s="12"/>
      <c r="K13" s="91"/>
      <c r="L13" s="3"/>
      <c r="M13" s="3"/>
    </row>
    <row r="14" spans="1:13" x14ac:dyDescent="0.25">
      <c r="A14" s="22"/>
      <c r="B14" s="11"/>
      <c r="C14" s="2"/>
      <c r="D14" s="3"/>
      <c r="E14" s="12" t="str">
        <f>IF(C14&gt;0,LOOKUP(C14,'Lista de Escolas'!$C$3:$C$176,'Lista de Escolas'!$E$3:$E$176),"")</f>
        <v/>
      </c>
      <c r="F14" s="12"/>
      <c r="G14" s="12"/>
      <c r="H14" s="12"/>
      <c r="I14" s="12"/>
      <c r="J14" s="3"/>
      <c r="K14" s="4"/>
      <c r="L14" s="3"/>
    </row>
    <row r="15" spans="1:13" s="13" customFormat="1" x14ac:dyDescent="0.2">
      <c r="A15" s="22"/>
      <c r="B15" s="25"/>
      <c r="C15" s="3"/>
      <c r="D15" s="3"/>
      <c r="E15" s="12" t="str">
        <f>IF(C15&gt;0,LOOKUP(C15,'Lista de Escolas'!$C$3:$C$176,'Lista de Escolas'!$E$3:$E$176),"")</f>
        <v/>
      </c>
      <c r="F15" s="12"/>
      <c r="G15" s="12"/>
      <c r="H15" s="12"/>
      <c r="I15" s="12"/>
      <c r="J15" s="3"/>
      <c r="K15" s="4"/>
      <c r="L15" s="12"/>
    </row>
    <row r="16" spans="1:13" x14ac:dyDescent="0.25">
      <c r="A16" s="22"/>
      <c r="B16" s="25"/>
      <c r="C16" s="12"/>
      <c r="D16" s="12"/>
      <c r="E16" s="12" t="str">
        <f>IF(C16&gt;0,LOOKUP(C16,'Lista de Escolas'!$C$3:$C$176,'Lista de Escolas'!$E$3:$E$176),"")</f>
        <v/>
      </c>
      <c r="F16" s="12"/>
      <c r="G16" s="12"/>
      <c r="H16" s="12"/>
      <c r="I16" s="12"/>
      <c r="J16" s="12"/>
      <c r="K16" s="91"/>
      <c r="L16" s="3"/>
    </row>
    <row r="17" spans="1:12" x14ac:dyDescent="0.25">
      <c r="A17" s="22"/>
      <c r="B17" s="25"/>
      <c r="C17" s="3"/>
      <c r="D17" s="3"/>
      <c r="E17" s="12" t="str">
        <f>IF(C17&gt;0,LOOKUP(C17,'Lista de Escolas'!$C$3:$C$176,'Lista de Escolas'!$E$3:$E$176),"")</f>
        <v/>
      </c>
      <c r="F17" s="12"/>
      <c r="G17" s="12"/>
      <c r="H17" s="12"/>
      <c r="I17" s="12"/>
      <c r="J17" s="3"/>
      <c r="K17" s="4"/>
      <c r="L17" s="3"/>
    </row>
    <row r="18" spans="1:12" x14ac:dyDescent="0.25">
      <c r="A18" s="22"/>
      <c r="B18" s="25"/>
      <c r="C18" s="3"/>
      <c r="D18" s="3"/>
      <c r="E18" s="12" t="str">
        <f>IF(C18&gt;0,LOOKUP(C18,'Lista de Escolas'!$C$3:$C$176,'Lista de Escolas'!$E$3:$E$176),"")</f>
        <v/>
      </c>
      <c r="F18" s="12"/>
      <c r="G18" s="12"/>
      <c r="H18" s="12"/>
      <c r="I18" s="12"/>
      <c r="J18" s="3"/>
      <c r="K18" s="4"/>
      <c r="L18" s="3"/>
    </row>
    <row r="19" spans="1:12" x14ac:dyDescent="0.25">
      <c r="A19" s="22"/>
      <c r="B19" s="25"/>
      <c r="C19" s="12"/>
      <c r="D19" s="12"/>
      <c r="E19" s="12" t="str">
        <f>IF(C19&gt;0,LOOKUP(C19,'Lista de Escolas'!$C$3:$C$176,'Lista de Escolas'!$E$3:$E$176),"")</f>
        <v/>
      </c>
      <c r="F19" s="12"/>
      <c r="G19" s="12"/>
      <c r="H19" s="12"/>
      <c r="I19" s="12"/>
      <c r="J19" s="12"/>
      <c r="K19" s="91"/>
      <c r="L19" s="12"/>
    </row>
    <row r="20" spans="1:12" x14ac:dyDescent="0.25">
      <c r="A20" s="22"/>
      <c r="B20" s="25"/>
      <c r="C20" s="3"/>
      <c r="D20" s="3"/>
      <c r="E20" s="12" t="str">
        <f>IF(C20&gt;0,LOOKUP(C20,'Lista de Escolas'!$C$3:$C$176,'Lista de Escolas'!$E$3:$E$176),"")</f>
        <v/>
      </c>
      <c r="F20" s="12"/>
      <c r="G20" s="12"/>
      <c r="H20" s="12"/>
      <c r="I20" s="12"/>
      <c r="J20" s="3"/>
      <c r="K20" s="4"/>
      <c r="L20" s="3"/>
    </row>
    <row r="21" spans="1:12" x14ac:dyDescent="0.25">
      <c r="A21" s="22"/>
      <c r="B21" s="25"/>
      <c r="C21" s="3"/>
      <c r="D21" s="3"/>
      <c r="E21" s="12" t="str">
        <f>IF(C21&gt;0,LOOKUP(C21,'Lista de Escolas'!$C$3:$C$176,'Lista de Escolas'!$E$3:$E$176),"")</f>
        <v/>
      </c>
      <c r="F21" s="12"/>
      <c r="G21" s="12"/>
      <c r="H21" s="12"/>
      <c r="I21" s="12"/>
      <c r="J21" s="3"/>
      <c r="K21" s="4"/>
      <c r="L21" s="3"/>
    </row>
    <row r="22" spans="1:12" x14ac:dyDescent="0.25">
      <c r="A22" s="23"/>
      <c r="B22" s="25"/>
      <c r="C22" s="3"/>
      <c r="D22" s="3"/>
      <c r="E22" s="12" t="str">
        <f>IF(C22&gt;0,LOOKUP(C22,'Lista de Escolas'!$C$3:$C$176,'Lista de Escolas'!$E$3:$E$176),"")</f>
        <v/>
      </c>
      <c r="F22" s="12"/>
      <c r="G22" s="12"/>
      <c r="H22" s="12"/>
      <c r="I22" s="12"/>
      <c r="J22" s="3"/>
      <c r="K22" s="4"/>
      <c r="L22" s="3"/>
    </row>
    <row r="23" spans="1:12" x14ac:dyDescent="0.25">
      <c r="A23" s="23"/>
      <c r="B23" s="25"/>
      <c r="C23" s="3"/>
      <c r="D23" s="3"/>
      <c r="E23" s="12" t="str">
        <f>IF(C23&gt;0,LOOKUP(C23,'Lista de Escolas'!$C$3:$C$176,'Lista de Escolas'!$E$3:$E$176),"")</f>
        <v/>
      </c>
      <c r="F23" s="12"/>
      <c r="G23" s="12"/>
      <c r="H23" s="12"/>
      <c r="I23" s="12"/>
      <c r="J23" s="3"/>
      <c r="K23" s="4"/>
      <c r="L23" s="3"/>
    </row>
    <row r="24" spans="1:12" x14ac:dyDescent="0.25">
      <c r="A24" s="23"/>
      <c r="B24" s="25"/>
      <c r="C24" s="3"/>
      <c r="D24" s="3"/>
      <c r="E24" s="12" t="str">
        <f>IF(C24&gt;0,LOOKUP(C24,'Lista de Escolas'!$C$3:$C$176,'Lista de Escolas'!$E$3:$E$176),"")</f>
        <v/>
      </c>
      <c r="F24" s="12"/>
      <c r="G24" s="12"/>
      <c r="H24" s="12"/>
      <c r="I24" s="12"/>
      <c r="J24" s="3"/>
      <c r="K24" s="4"/>
      <c r="L24" s="3"/>
    </row>
    <row r="25" spans="1:12" x14ac:dyDescent="0.25">
      <c r="A25" s="23"/>
      <c r="B25" s="25"/>
      <c r="C25" s="3"/>
      <c r="D25" s="3"/>
      <c r="E25" s="12" t="str">
        <f>IF(C25&gt;0,LOOKUP(C25,'Lista de Escolas'!$C$3:$C$176,'Lista de Escolas'!$E$3:$E$176),"")</f>
        <v/>
      </c>
      <c r="F25" s="12"/>
      <c r="G25" s="12"/>
      <c r="H25" s="12"/>
      <c r="I25" s="12"/>
      <c r="J25" s="3"/>
      <c r="K25" s="4"/>
      <c r="L25" s="3"/>
    </row>
    <row r="26" spans="1:12" x14ac:dyDescent="0.25">
      <c r="A26" s="22"/>
      <c r="B26" s="25"/>
      <c r="C26" s="12"/>
      <c r="D26" s="12"/>
      <c r="E26" s="12" t="str">
        <f>IF(C26&gt;0,LOOKUP(C26,'Lista de Escolas'!$C$3:$C$176,'Lista de Escolas'!$E$3:$E$176),"")</f>
        <v/>
      </c>
      <c r="F26" s="12"/>
      <c r="G26" s="12"/>
      <c r="H26" s="12"/>
      <c r="I26" s="12"/>
      <c r="J26" s="12"/>
      <c r="K26" s="91"/>
      <c r="L26" s="12"/>
    </row>
    <row r="27" spans="1:12" x14ac:dyDescent="0.25">
      <c r="A27" s="22"/>
      <c r="B27" s="25"/>
      <c r="C27" s="12"/>
      <c r="D27" s="12"/>
      <c r="E27" s="12" t="str">
        <f>IF(C27&gt;0,LOOKUP(C27,'Lista de Escolas'!$C$3:$C$176,'Lista de Escolas'!$E$3:$E$176),"")</f>
        <v/>
      </c>
      <c r="F27" s="12"/>
      <c r="G27" s="12"/>
      <c r="H27" s="12"/>
      <c r="I27" s="12"/>
      <c r="J27" s="12"/>
      <c r="K27" s="14"/>
      <c r="L27" s="12"/>
    </row>
    <row r="28" spans="1:12" x14ac:dyDescent="0.25">
      <c r="A28" s="22"/>
      <c r="B28" s="25"/>
      <c r="C28" s="3"/>
      <c r="D28" s="3"/>
      <c r="E28" s="12" t="str">
        <f>IF(C28&gt;0,LOOKUP(C28,'Lista de Escolas'!$C$3:$C$176,'Lista de Escolas'!$E$3:$E$176),"")</f>
        <v/>
      </c>
      <c r="F28" s="12"/>
      <c r="G28" s="12"/>
      <c r="H28" s="12"/>
      <c r="I28" s="12"/>
      <c r="J28" s="3"/>
      <c r="K28" s="5"/>
      <c r="L28" s="3"/>
    </row>
    <row r="29" spans="1:12" x14ac:dyDescent="0.25">
      <c r="A29" s="22"/>
      <c r="B29" s="25"/>
      <c r="C29" s="12"/>
      <c r="D29" s="12"/>
      <c r="E29" s="12" t="str">
        <f>IF(C29&gt;0,LOOKUP(C29,'Lista de Escolas'!$C$3:$C$176,'Lista de Escolas'!$E$3:$E$176),"")</f>
        <v/>
      </c>
      <c r="F29" s="12"/>
      <c r="G29" s="12"/>
      <c r="H29" s="12"/>
      <c r="I29" s="12"/>
      <c r="J29" s="12"/>
      <c r="K29" s="14"/>
      <c r="L29" s="12"/>
    </row>
    <row r="30" spans="1:12" x14ac:dyDescent="0.25">
      <c r="A30" s="22"/>
      <c r="B30" s="25"/>
      <c r="C30" s="3"/>
      <c r="D30" s="3"/>
      <c r="E30" s="12" t="str">
        <f>IF(C30&gt;0,LOOKUP(C30,'Lista de Escolas'!$C$3:$C$176,'Lista de Escolas'!$E$3:$E$176),"")</f>
        <v/>
      </c>
      <c r="F30" s="12"/>
      <c r="G30" s="12"/>
      <c r="H30" s="12"/>
      <c r="I30" s="12"/>
      <c r="J30" s="3"/>
      <c r="K30" s="5"/>
      <c r="L30" s="3"/>
    </row>
    <row r="31" spans="1:12" x14ac:dyDescent="0.25">
      <c r="A31" s="22"/>
      <c r="B31" s="22"/>
      <c r="C31" s="12"/>
      <c r="D31" s="12"/>
      <c r="E31" s="12" t="str">
        <f>IF(C31&gt;0,LOOKUP(C31,'Lista de Escolas'!$C$3:$C$176,'Lista de Escolas'!$E$3:$E$176),"")</f>
        <v/>
      </c>
      <c r="F31" s="12"/>
      <c r="G31" s="12"/>
      <c r="H31" s="12"/>
      <c r="I31" s="12"/>
      <c r="J31" s="12"/>
      <c r="K31" s="14"/>
      <c r="L31" s="3"/>
    </row>
    <row r="32" spans="1:12" x14ac:dyDescent="0.25">
      <c r="A32" s="23"/>
      <c r="B32" s="94"/>
      <c r="C32" s="3"/>
      <c r="D32" s="3"/>
      <c r="E32" s="12" t="str">
        <f>IF(C32&gt;0,LOOKUP(C32,'Lista de Escolas'!$C$3:$C$176,'Lista de Escolas'!$E$3:$E$176),"")</f>
        <v/>
      </c>
      <c r="F32" s="12"/>
      <c r="G32" s="12"/>
      <c r="H32" s="12"/>
      <c r="I32" s="12"/>
      <c r="J32" s="3"/>
      <c r="K32" s="5"/>
      <c r="L32" s="3"/>
    </row>
    <row r="33" spans="1:13" x14ac:dyDescent="0.25">
      <c r="A33" s="23"/>
      <c r="B33" s="94"/>
      <c r="E33" s="12" t="str">
        <f>IF(C33&gt;0,LOOKUP(C33,'Lista de Escolas'!$C$3:$C$176,'Lista de Escolas'!$E$3:$E$176),"")</f>
        <v/>
      </c>
      <c r="F33" s="12"/>
      <c r="G33" s="12"/>
      <c r="H33" s="12"/>
      <c r="I33" s="12"/>
    </row>
    <row r="34" spans="1:13" x14ac:dyDescent="0.25">
      <c r="A34" s="22"/>
      <c r="B34" s="22"/>
      <c r="C34" s="23"/>
      <c r="D34" s="23"/>
      <c r="E34" s="12" t="str">
        <f>IF(C34&gt;0,LOOKUP(C34,'Lista de Escolas'!$C$3:$C$176,'Lista de Escolas'!$E$3:$E$176),"")</f>
        <v/>
      </c>
      <c r="F34" s="12"/>
      <c r="G34" s="12"/>
      <c r="H34" s="12"/>
      <c r="I34" s="12"/>
      <c r="J34" s="23"/>
      <c r="K34" s="24"/>
      <c r="L34" s="23"/>
      <c r="M34" s="92"/>
    </row>
    <row r="35" spans="1:13" x14ac:dyDescent="0.25">
      <c r="A35" s="23"/>
      <c r="B35" s="22"/>
      <c r="C35" s="20"/>
      <c r="D35" s="20"/>
      <c r="E35" s="12" t="str">
        <f>IF(C35&gt;0,LOOKUP(C35,'Lista de Escolas'!$C$3:$C$176,'Lista de Escolas'!$E$3:$E$176),"")</f>
        <v/>
      </c>
      <c r="F35" s="12"/>
      <c r="G35" s="12"/>
      <c r="H35" s="12"/>
      <c r="I35" s="12"/>
      <c r="J35" s="20"/>
      <c r="K35" s="21"/>
      <c r="L35" s="20"/>
      <c r="M35" s="92"/>
    </row>
    <row r="36" spans="1:13" x14ac:dyDescent="0.25">
      <c r="A36" s="22"/>
      <c r="B36" s="22"/>
      <c r="C36" s="20"/>
      <c r="D36" s="20"/>
      <c r="E36" s="12" t="str">
        <f>IF(C36&gt;0,LOOKUP(C36,'Lista de Escolas'!$C$3:$C$176,'Lista de Escolas'!$E$3:$E$176),"")</f>
        <v/>
      </c>
      <c r="F36" s="12"/>
      <c r="G36" s="12"/>
      <c r="H36" s="12"/>
      <c r="I36" s="12"/>
      <c r="J36" s="20"/>
      <c r="K36" s="21"/>
      <c r="L36" s="23"/>
      <c r="M36" s="92"/>
    </row>
    <row r="37" spans="1:13" x14ac:dyDescent="0.25">
      <c r="A37" s="22"/>
      <c r="B37" s="22"/>
      <c r="C37" s="23"/>
      <c r="D37" s="23"/>
      <c r="E37" s="12" t="str">
        <f>IF(C37&gt;0,LOOKUP(C37,'Lista de Escolas'!$C$3:$C$176,'Lista de Escolas'!$E$3:$E$176),"")</f>
        <v/>
      </c>
      <c r="F37" s="12"/>
      <c r="G37" s="12"/>
      <c r="H37" s="12"/>
      <c r="I37" s="12"/>
      <c r="J37" s="23"/>
      <c r="K37" s="24"/>
      <c r="L37" s="23"/>
      <c r="M37" s="92"/>
    </row>
    <row r="38" spans="1:13" x14ac:dyDescent="0.25">
      <c r="A38" s="23"/>
      <c r="B38" s="22"/>
      <c r="C38" s="23"/>
      <c r="D38" s="23"/>
      <c r="E38" s="12" t="str">
        <f>IF(C38&gt;0,LOOKUP(C38,'Lista de Escolas'!$C$3:$C$176,'Lista de Escolas'!$E$3:$E$176),"")</f>
        <v/>
      </c>
      <c r="F38" s="12"/>
      <c r="G38" s="12"/>
      <c r="H38" s="12"/>
      <c r="I38" s="12"/>
      <c r="J38" s="23"/>
      <c r="K38" s="24"/>
      <c r="L38" s="23"/>
      <c r="M38" s="92"/>
    </row>
    <row r="39" spans="1:13" x14ac:dyDescent="0.25">
      <c r="A39" s="22"/>
      <c r="B39" s="22"/>
      <c r="C39" s="20"/>
      <c r="D39" s="20"/>
      <c r="E39" s="12" t="str">
        <f>IF(C39&gt;0,LOOKUP(C39,'Lista de Escolas'!$C$3:$C$176,'Lista de Escolas'!$E$3:$E$176),"")</f>
        <v/>
      </c>
      <c r="F39" s="12"/>
      <c r="G39" s="12"/>
      <c r="H39" s="12"/>
      <c r="I39" s="12"/>
      <c r="J39" s="20"/>
      <c r="K39" s="21"/>
      <c r="L39" s="23"/>
      <c r="M39" s="92"/>
    </row>
    <row r="40" spans="1:13" x14ac:dyDescent="0.25">
      <c r="A40" s="22"/>
      <c r="B40" s="22"/>
      <c r="C40" s="23"/>
      <c r="D40" s="23"/>
      <c r="E40" s="12" t="str">
        <f>IF(C40&gt;0,LOOKUP(C40,'Lista de Escolas'!$C$3:$C$176,'Lista de Escolas'!$E$3:$E$176),"")</f>
        <v/>
      </c>
      <c r="F40" s="12"/>
      <c r="G40" s="12"/>
      <c r="H40" s="12"/>
      <c r="I40" s="12"/>
      <c r="J40" s="23"/>
      <c r="K40" s="24"/>
      <c r="L40" s="23"/>
      <c r="M40" s="92"/>
    </row>
    <row r="41" spans="1:13" x14ac:dyDescent="0.25">
      <c r="A41" s="22"/>
      <c r="B41" s="22"/>
      <c r="C41" s="20"/>
      <c r="D41" s="20"/>
      <c r="E41" s="12" t="str">
        <f>IF(C41&gt;0,LOOKUP(C41,'Lista de Escolas'!$C$3:$C$176,'Lista de Escolas'!$E$3:$E$176),"")</f>
        <v/>
      </c>
      <c r="F41" s="12"/>
      <c r="G41" s="12"/>
      <c r="H41" s="12"/>
      <c r="I41" s="12"/>
      <c r="J41" s="20"/>
      <c r="K41" s="21"/>
      <c r="L41" s="23"/>
      <c r="M41" s="92"/>
    </row>
    <row r="42" spans="1:13" x14ac:dyDescent="0.25">
      <c r="A42" s="22"/>
      <c r="B42" s="22"/>
      <c r="C42" s="23"/>
      <c r="D42" s="23"/>
      <c r="E42" s="12" t="str">
        <f>IF(C42&gt;0,LOOKUP(C42,'Lista de Escolas'!$C$3:$C$176,'Lista de Escolas'!$E$3:$E$176),"")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3"/>
      <c r="B43" s="22"/>
      <c r="C43" s="20"/>
      <c r="D43" s="20"/>
      <c r="E43" s="12" t="str">
        <f>IF(C43&gt;0,LOOKUP(C43,'Lista de Escolas'!$C$3:$C$176,'Lista de Escolas'!$E$3:$E$176),"")</f>
        <v/>
      </c>
      <c r="F43" s="12"/>
      <c r="G43" s="12"/>
      <c r="H43" s="12"/>
      <c r="I43" s="12"/>
      <c r="J43" s="20"/>
      <c r="K43" s="21"/>
      <c r="L43" s="20"/>
      <c r="M43" s="92"/>
    </row>
    <row r="44" spans="1:13" x14ac:dyDescent="0.25">
      <c r="A44" s="22"/>
      <c r="B44" s="22"/>
      <c r="C44" s="20"/>
      <c r="D44" s="20"/>
      <c r="E44" s="12" t="str">
        <f>IF(C44&gt;0,LOOKUP(C44,'Lista de Escolas'!$C$3:$C$176,'Lista de Escolas'!$E$3:$E$176),"")</f>
        <v/>
      </c>
      <c r="F44" s="12"/>
      <c r="G44" s="12"/>
      <c r="H44" s="12"/>
      <c r="I44" s="12"/>
      <c r="J44" s="20"/>
      <c r="K44" s="21"/>
      <c r="L44" s="20"/>
      <c r="M44" s="92"/>
    </row>
    <row r="45" spans="1:13" x14ac:dyDescent="0.25">
      <c r="A45" s="22"/>
      <c r="B45" s="22"/>
      <c r="C45" s="20"/>
      <c r="D45" s="20"/>
      <c r="E45" s="12" t="str">
        <f>IF(C45&gt;0,LOOKUP(C45,'Lista de Escolas'!$C$3:$C$176,'Lista de Escolas'!$E$3:$E$176),"")</f>
        <v/>
      </c>
      <c r="F45" s="12"/>
      <c r="G45" s="12"/>
      <c r="H45" s="12"/>
      <c r="I45" s="12"/>
      <c r="J45" s="20"/>
      <c r="K45" s="21"/>
      <c r="L45" s="20"/>
      <c r="M45" s="92"/>
    </row>
    <row r="46" spans="1:13" x14ac:dyDescent="0.25">
      <c r="A46" s="23"/>
      <c r="B46" s="22"/>
      <c r="C46" s="23"/>
      <c r="D46" s="20"/>
      <c r="E46" s="12" t="str">
        <f>IF(C46&gt;0,LOOKUP(C46,'Lista de Escolas'!$C$3:$C$176,'Lista de Escolas'!$E$3:$E$176),"")</f>
        <v/>
      </c>
      <c r="F46" s="12"/>
      <c r="G46" s="12"/>
      <c r="H46" s="12"/>
      <c r="I46" s="12"/>
      <c r="J46" s="23"/>
      <c r="K46" s="24"/>
      <c r="L46" s="23"/>
      <c r="M46" s="92"/>
    </row>
    <row r="47" spans="1:13" x14ac:dyDescent="0.25">
      <c r="A47" s="23"/>
      <c r="B47" s="22"/>
      <c r="C47" s="20"/>
      <c r="D47" s="20"/>
      <c r="E47" s="12" t="str">
        <f>IF(C47&gt;0,LOOKUP(C47,'Lista de Escolas'!$C$3:$C$176,'Lista de Escolas'!$E$3:$E$176),"")</f>
        <v/>
      </c>
      <c r="F47" s="12"/>
      <c r="G47" s="12"/>
      <c r="H47" s="12"/>
      <c r="I47" s="12"/>
      <c r="J47" s="20"/>
      <c r="K47" s="21"/>
      <c r="L47" s="20"/>
      <c r="M47" s="92"/>
    </row>
    <row r="48" spans="1:13" x14ac:dyDescent="0.25">
      <c r="A48" s="22"/>
      <c r="B48" s="22"/>
      <c r="C48" s="20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0"/>
      <c r="K48" s="21"/>
      <c r="L48" s="20"/>
      <c r="M48" s="92"/>
    </row>
    <row r="49" spans="1:13" x14ac:dyDescent="0.25">
      <c r="A49" s="22"/>
      <c r="B49" s="22"/>
      <c r="C49" s="20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0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0"/>
      <c r="K50" s="21"/>
      <c r="L50" s="23"/>
      <c r="M50" s="92"/>
    </row>
    <row r="51" spans="1:13" x14ac:dyDescent="0.25">
      <c r="C51" s="20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0"/>
      <c r="K51" s="21"/>
      <c r="L51" s="20"/>
      <c r="M51" s="92"/>
    </row>
    <row r="52" spans="1:13" x14ac:dyDescent="0.25">
      <c r="E52" s="12" t="str">
        <f>IF(C52&gt;0,LOOKUP(C52,'Lista de Escolas'!$C$3:$C$178,'Lista de Escolas'!$E$3:$E$178),"")</f>
        <v/>
      </c>
      <c r="F52" s="12"/>
      <c r="G52" s="12"/>
      <c r="H52" s="12"/>
      <c r="I52" s="12"/>
    </row>
    <row r="53" spans="1:13" x14ac:dyDescent="0.25">
      <c r="E53" s="12" t="str">
        <f>IF(C53&gt;0,LOOKUP(C53,'Lista de Escolas'!$C$3:$C$178,'Lista de Escolas'!$E$3:$E$178),"")</f>
        <v/>
      </c>
      <c r="F53" s="12"/>
      <c r="G53" s="12"/>
      <c r="H53" s="12"/>
      <c r="I53" s="12"/>
    </row>
    <row r="54" spans="1:13" x14ac:dyDescent="0.25">
      <c r="E54" s="12" t="str">
        <f>IF(C54&gt;0,LOOKUP(C54,'Lista de Escolas'!$C$3:$C$178,'Lista de Escolas'!$E$3:$E$178),"")</f>
        <v/>
      </c>
      <c r="F54" s="12"/>
      <c r="G54" s="12"/>
      <c r="H54" s="12"/>
      <c r="I54" s="12"/>
    </row>
    <row r="55" spans="1:13" x14ac:dyDescent="0.25">
      <c r="E55" s="12" t="str">
        <f>IF(C55&gt;0,LOOKUP(C55,'Lista de Escolas'!$C$3:$C$178,'Lista de Escolas'!$E$3:$E$178),"")</f>
        <v/>
      </c>
      <c r="F55" s="12"/>
      <c r="G55" s="12"/>
      <c r="H55" s="12"/>
      <c r="I55" s="12"/>
    </row>
    <row r="56" spans="1:13" x14ac:dyDescent="0.25">
      <c r="E56" s="12" t="str">
        <f>IF(C56&gt;0,LOOKUP(C56,'Lista de Escolas'!$C$3:$C$178,'Lista de Escolas'!$E$3:$E$178),"")</f>
        <v/>
      </c>
      <c r="F56" s="12"/>
      <c r="G56" s="12"/>
      <c r="H56" s="12"/>
      <c r="I56" s="12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Escolas'!$C$3:$C$178,'Lista de Escolas'!$E$3:$E$178),"")</f>
        <v/>
      </c>
      <c r="F58" s="12"/>
      <c r="G58" s="12"/>
      <c r="H58" s="12"/>
      <c r="I58" s="12"/>
    </row>
    <row r="59" spans="1:13" x14ac:dyDescent="0.25">
      <c r="F59" s="1" t="s">
        <v>595</v>
      </c>
      <c r="G59" s="1" t="s">
        <v>597</v>
      </c>
      <c r="H59" s="1" t="s">
        <v>598</v>
      </c>
      <c r="I59" s="1" t="s">
        <v>596</v>
      </c>
      <c r="J59" s="17" t="s">
        <v>604</v>
      </c>
    </row>
    <row r="60" spans="1:13" x14ac:dyDescent="0.25">
      <c r="B60" s="12" t="s">
        <v>31</v>
      </c>
      <c r="C60" s="1" t="s">
        <v>32</v>
      </c>
      <c r="E60" s="1">
        <f>COUNTIFS(E3:E50,"=Escolas Rainha Santa Isabel")</f>
        <v>4</v>
      </c>
      <c r="F60" s="1">
        <f t="shared" ref="F60:H60" si="0">SUM(F5:F48)</f>
        <v>4</v>
      </c>
      <c r="G60" s="1">
        <f t="shared" si="0"/>
        <v>1</v>
      </c>
      <c r="H60" s="1">
        <f t="shared" si="0"/>
        <v>3</v>
      </c>
      <c r="I60" s="1">
        <f>SUM(I5:I48)</f>
        <v>1</v>
      </c>
      <c r="J60" s="1">
        <f>SUM(J5:J48)</f>
        <v>2</v>
      </c>
    </row>
    <row r="61" spans="1:13" x14ac:dyDescent="0.25">
      <c r="B61" s="12">
        <f>COUNT(B6:B59)</f>
        <v>6</v>
      </c>
      <c r="C61" s="1" t="s">
        <v>33</v>
      </c>
      <c r="E61" s="1">
        <f>COUNTIFS(E3:E50,"=Escolas Dr. Correia Mateus")</f>
        <v>0</v>
      </c>
    </row>
    <row r="62" spans="1:13" x14ac:dyDescent="0.25">
      <c r="C62" s="1" t="s">
        <v>67</v>
      </c>
      <c r="E62" s="1">
        <f>COUNTIFS(E3:E50,"=Escolas da Caranguejeira - Santa Catarina da Serra")</f>
        <v>0</v>
      </c>
    </row>
    <row r="63" spans="1:13" x14ac:dyDescent="0.25">
      <c r="C63" s="1" t="s">
        <v>35</v>
      </c>
      <c r="E63" s="1">
        <f>COUNTIFS(E3:E50,"=Escolas de Colmeias")</f>
        <v>0</v>
      </c>
    </row>
    <row r="64" spans="1:13" x14ac:dyDescent="0.25">
      <c r="C64" s="1" t="s">
        <v>36</v>
      </c>
      <c r="E64" s="1">
        <f>COUNTIFS(E3:E50,"=Escolas de Marrazes")</f>
        <v>0</v>
      </c>
    </row>
    <row r="65" spans="3:5" x14ac:dyDescent="0.25">
      <c r="C65" s="1" t="s">
        <v>37</v>
      </c>
      <c r="E65" s="1">
        <f>COUNTIFS(E3:E50,"=Escolas Domingos Sequeira")</f>
        <v>3</v>
      </c>
    </row>
    <row r="66" spans="3:5" x14ac:dyDescent="0.25">
      <c r="C66" s="1" t="s">
        <v>38</v>
      </c>
      <c r="E66" s="1">
        <f>COUNTIFS(E3:E50,"=Escolas D. Dinis")</f>
        <v>0</v>
      </c>
    </row>
    <row r="67" spans="3:5" x14ac:dyDescent="0.25">
      <c r="C67" s="1" t="s">
        <v>68</v>
      </c>
      <c r="E67" s="1">
        <f>COUNTIFS(E5:E58,"=Henrique Sommer")</f>
        <v>0</v>
      </c>
    </row>
    <row r="68" spans="3:5" x14ac:dyDescent="0.25">
      <c r="C68" s="1" t="s">
        <v>69</v>
      </c>
      <c r="E68" s="1">
        <f>SUM(E60:E67)</f>
        <v>7</v>
      </c>
    </row>
  </sheetData>
  <customSheetViews>
    <customSheetView guid="{7E850ADC-7020-4CE4-9656-1D37A8554340}" hiddenColumns="1">
      <selection activeCell="G5" sqref="G5"/>
      <pageMargins left="0" right="0" top="0" bottom="0" header="0" footer="0"/>
      <pageSetup paperSize="9" orientation="landscape" horizontalDpi="300" verticalDpi="300"/>
    </customSheetView>
    <customSheetView guid="{6C6D19B4-0AAB-4D39-9585-2246A62E9472}" hiddenColumns="1">
      <selection activeCell="G5" sqref="G5"/>
      <pageMargins left="0" right="0" top="0" bottom="0" header="0" footer="0"/>
      <pageSetup paperSize="9" orientation="landscape" horizontalDpi="300" verticalDpi="300"/>
    </customSheetView>
  </customSheetViews>
  <mergeCells count="2">
    <mergeCell ref="B1:L1"/>
    <mergeCell ref="B3:L3"/>
  </mergeCells>
  <phoneticPr fontId="6" type="noConversion"/>
  <pageMargins left="0.25" right="0.25" top="0.75" bottom="0.75" header="0.3" footer="0.3"/>
  <pageSetup paperSize="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8"/>
  <sheetViews>
    <sheetView workbookViewId="0">
      <selection activeCell="F5" sqref="F5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7" customWidth="1"/>
    <col min="4" max="4" width="19.42578125" style="1" hidden="1" customWidth="1"/>
    <col min="5" max="5" width="42.285156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1" customWidth="1"/>
    <col min="11" max="11" width="111.5703125" style="7" bestFit="1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76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7.25" customHeight="1" x14ac:dyDescent="0.2">
      <c r="B5" s="11"/>
      <c r="C5" s="12" t="s">
        <v>538</v>
      </c>
      <c r="D5" s="12"/>
      <c r="E5" s="12" t="b">
        <f>SET!E5=IF(C5&gt;0,LOOKUP(C5,'Lista de Escolas'!$C$3:$C$176,'Lista de Escolas'!$E$3:$E$176),"")</f>
        <v>0</v>
      </c>
      <c r="F5" s="12"/>
      <c r="G5" s="12"/>
      <c r="H5" s="12"/>
      <c r="I5" s="12"/>
      <c r="J5" s="12"/>
      <c r="K5" s="90"/>
      <c r="L5" s="12"/>
    </row>
    <row r="6" spans="1:13" s="4" customFormat="1" ht="15" customHeight="1" x14ac:dyDescent="0.2">
      <c r="A6" s="11"/>
      <c r="B6" s="25"/>
      <c r="C6" s="12"/>
      <c r="D6" s="3"/>
      <c r="E6" s="12" t="str">
        <f>IF(C6&gt;0,LOOKUP(C6,'Lista de Escolas'!$C$3:$C$178,'Lista de Escolas'!$E$3:$E$178),"")</f>
        <v/>
      </c>
      <c r="F6" s="12"/>
      <c r="G6" s="12"/>
      <c r="H6" s="12"/>
      <c r="I6" s="12"/>
      <c r="J6" s="3"/>
      <c r="L6" s="3"/>
    </row>
    <row r="7" spans="1:13" s="4" customFormat="1" ht="16.5" customHeight="1" x14ac:dyDescent="0.2">
      <c r="A7" s="11"/>
      <c r="B7" s="25"/>
      <c r="C7" s="12"/>
      <c r="D7" s="3"/>
      <c r="E7" s="12" t="str">
        <f>IF(C7&gt;0,LOOKUP(C7,'Lista de Escolas'!$C$3:$C$178,'Lista de Escolas'!$E$3:$E$178),"")</f>
        <v/>
      </c>
      <c r="F7" s="12"/>
      <c r="G7" s="12"/>
      <c r="H7" s="12"/>
      <c r="I7" s="12"/>
      <c r="J7" s="3"/>
      <c r="L7" s="3"/>
    </row>
    <row r="8" spans="1:13" s="4" customFormat="1" ht="15.75" customHeight="1" x14ac:dyDescent="0.2">
      <c r="A8" s="11"/>
      <c r="B8" s="25"/>
      <c r="C8" s="12"/>
      <c r="D8" s="12"/>
      <c r="E8" s="12" t="str">
        <f>IF(C8&gt;0,LOOKUP(C8,'Lista de Escolas'!$C$3:$C$178,'Lista de Escolas'!$E$3:$E$178),"")</f>
        <v/>
      </c>
      <c r="F8" s="12"/>
      <c r="G8" s="12"/>
      <c r="H8" s="12"/>
      <c r="I8" s="12"/>
      <c r="J8" s="12"/>
      <c r="K8" s="91"/>
      <c r="L8" s="12"/>
    </row>
    <row r="9" spans="1:13" s="4" customFormat="1" ht="16.5" customHeight="1" x14ac:dyDescent="0.2">
      <c r="A9" s="11"/>
      <c r="B9" s="25"/>
      <c r="C9" s="12"/>
      <c r="D9" s="3"/>
      <c r="E9" s="12" t="str">
        <f>IF(C9&gt;0,LOOKUP(C9,'Lista de Escolas'!$C$3:$C$178,'Lista de Escolas'!$E$3:$E$178),"")</f>
        <v/>
      </c>
      <c r="F9" s="12"/>
      <c r="G9" s="12"/>
      <c r="H9" s="12"/>
      <c r="I9" s="12"/>
      <c r="J9" s="3"/>
      <c r="K9" s="91"/>
      <c r="L9" s="3"/>
    </row>
    <row r="10" spans="1:13" s="4" customFormat="1" ht="16.5" customHeight="1" x14ac:dyDescent="0.2">
      <c r="A10" s="11"/>
      <c r="B10" s="25"/>
      <c r="C10" s="108"/>
      <c r="D10" s="12"/>
      <c r="E10" s="12" t="str">
        <f>IF(C10&gt;0,LOOKUP(C10,'Lista de Escolas'!$C$3:$C$178,'Lista de Escolas'!$E$3:$E$178),"")</f>
        <v/>
      </c>
      <c r="F10" s="12"/>
      <c r="G10" s="12"/>
      <c r="H10" s="12"/>
      <c r="I10" s="12"/>
      <c r="J10" s="12"/>
      <c r="K10" s="91"/>
      <c r="L10" s="12"/>
    </row>
    <row r="11" spans="1:13" s="4" customFormat="1" ht="15" customHeight="1" x14ac:dyDescent="0.2">
      <c r="A11" s="11"/>
      <c r="B11" s="25"/>
      <c r="C11" s="12"/>
      <c r="D11" s="3"/>
      <c r="E11" s="12" t="str">
        <f>IF(C11&gt;0,LOOKUP(C11,'Lista de Escolas'!$C$3:$C$178,'Lista de Escolas'!$E$3:$E$178),"")</f>
        <v/>
      </c>
      <c r="F11" s="12"/>
      <c r="G11" s="12"/>
      <c r="H11" s="12"/>
      <c r="I11" s="12"/>
      <c r="J11" s="3"/>
      <c r="K11" s="91"/>
      <c r="L11" s="12"/>
    </row>
    <row r="12" spans="1:13" s="4" customFormat="1" ht="12.75" x14ac:dyDescent="0.2">
      <c r="A12" s="22"/>
      <c r="B12" s="25"/>
      <c r="C12" s="12"/>
      <c r="D12" s="3"/>
      <c r="E12" s="12" t="str">
        <f>IF(C12&gt;0,LOOKUP(C12,'Lista de Escolas'!$C$3:$C$178,'Lista de Escolas'!$E$3:$E$178),"")</f>
        <v/>
      </c>
      <c r="F12" s="12"/>
      <c r="G12" s="12"/>
      <c r="H12" s="12"/>
      <c r="I12" s="12"/>
      <c r="J12" s="12"/>
      <c r="K12" s="91"/>
      <c r="L12" s="12"/>
    </row>
    <row r="13" spans="1:13" x14ac:dyDescent="0.25">
      <c r="A13" s="22"/>
      <c r="B13" s="94"/>
      <c r="E13" s="12" t="str">
        <f>IF(C13&gt;0,LOOKUP(C13,'Lista de Escolas'!$C$3:$C$178,'Lista de Escolas'!$E$3:$E$178),"")</f>
        <v/>
      </c>
      <c r="F13" s="12"/>
      <c r="G13" s="12"/>
      <c r="H13" s="12"/>
      <c r="I13" s="12"/>
      <c r="J13" s="3"/>
      <c r="K13" s="4"/>
      <c r="L13" s="3"/>
      <c r="M13" s="3"/>
    </row>
    <row r="14" spans="1:13" x14ac:dyDescent="0.25">
      <c r="A14" s="22"/>
      <c r="B14" s="94"/>
      <c r="E14" s="12" t="str">
        <f>IF(C14&gt;0,LOOKUP(C14,'Lista de Escolas'!$C$3:$C$178,'Lista de Escolas'!$E$3:$E$178),"")</f>
        <v/>
      </c>
      <c r="F14" s="12"/>
      <c r="G14" s="12"/>
      <c r="H14" s="12"/>
      <c r="I14" s="12"/>
      <c r="J14" s="3"/>
      <c r="K14" s="4"/>
      <c r="L14" s="3"/>
    </row>
    <row r="15" spans="1:13" s="13" customFormat="1" x14ac:dyDescent="0.2">
      <c r="A15" s="22"/>
      <c r="B15" s="11"/>
      <c r="C15" s="25"/>
      <c r="D15" s="3"/>
      <c r="E15" s="12" t="str">
        <f>IF(C15&gt;0,LOOKUP(C15,'Lista de Escolas'!$C$3:$C$178,'Lista de Escolas'!$E$3:$E$178),"")</f>
        <v/>
      </c>
      <c r="F15" s="12"/>
      <c r="G15" s="12"/>
      <c r="H15" s="12"/>
      <c r="I15" s="12"/>
      <c r="J15" s="12"/>
      <c r="K15" s="91"/>
      <c r="L15" s="12"/>
    </row>
    <row r="16" spans="1:13" x14ac:dyDescent="0.25">
      <c r="A16" s="22"/>
      <c r="B16" s="25"/>
      <c r="C16" s="12"/>
      <c r="D16" s="3"/>
      <c r="E16" s="12" t="str">
        <f>IF(C16&gt;0,LOOKUP(C16,'Lista de Escolas'!$C$3:$C$178,'Lista de Escolas'!$E$3:$E$178),"")</f>
        <v/>
      </c>
      <c r="F16" s="12"/>
      <c r="G16" s="12"/>
      <c r="H16" s="12"/>
      <c r="I16" s="12"/>
      <c r="J16" s="3"/>
      <c r="K16" s="4"/>
      <c r="L16" s="3"/>
    </row>
    <row r="17" spans="1:12" x14ac:dyDescent="0.25">
      <c r="A17" s="22"/>
      <c r="B17" s="25"/>
      <c r="C17" s="12"/>
      <c r="D17" s="3"/>
      <c r="E17" s="12" t="str">
        <f>IF(C17&gt;0,LOOKUP(C17,'Lista de Escolas'!$C$3:$C$178,'Lista de Escolas'!$E$3:$E$178),"")</f>
        <v/>
      </c>
      <c r="F17" s="12"/>
      <c r="G17" s="12"/>
      <c r="H17" s="12"/>
      <c r="I17" s="12"/>
      <c r="J17" s="3"/>
      <c r="K17" s="4"/>
      <c r="L17" s="3"/>
    </row>
    <row r="18" spans="1:12" x14ac:dyDescent="0.25">
      <c r="A18" s="22"/>
      <c r="B18" s="25"/>
      <c r="C18" s="12"/>
      <c r="D18" s="3"/>
      <c r="E18" s="12" t="str">
        <f>IF(C18&gt;0,LOOKUP(C18,'Lista de Escolas'!$C$3:$C$178,'Lista de Escolas'!$E$3:$E$178),"")</f>
        <v/>
      </c>
      <c r="F18" s="12"/>
      <c r="G18" s="12"/>
      <c r="H18" s="12"/>
      <c r="I18" s="12"/>
      <c r="J18" s="3"/>
      <c r="K18" s="4"/>
      <c r="L18" s="3"/>
    </row>
    <row r="19" spans="1:12" x14ac:dyDescent="0.25">
      <c r="A19" s="22"/>
      <c r="B19" s="25"/>
      <c r="C19" s="12"/>
      <c r="D19" s="12"/>
      <c r="E19" s="12" t="str">
        <f>IF(C19&gt;0,LOOKUP(C19,'Lista de Escolas'!$C$3:$C$178,'Lista de Escolas'!$E$3:$E$178),"")</f>
        <v/>
      </c>
      <c r="F19" s="12"/>
      <c r="G19" s="12"/>
      <c r="H19" s="12"/>
      <c r="I19" s="12"/>
      <c r="J19" s="12"/>
      <c r="K19" s="91"/>
      <c r="L19" s="12"/>
    </row>
    <row r="20" spans="1:12" x14ac:dyDescent="0.25">
      <c r="A20" s="22"/>
      <c r="B20" s="25"/>
      <c r="C20" s="12"/>
      <c r="D20" s="3"/>
      <c r="E20" s="12" t="str">
        <f>IF(C20&gt;0,LOOKUP(C20,'Lista de Escolas'!$C$3:$C$178,'Lista de Escolas'!$E$3:$E$178),"")</f>
        <v/>
      </c>
      <c r="F20" s="12"/>
      <c r="G20" s="12"/>
      <c r="H20" s="12"/>
      <c r="I20" s="12"/>
      <c r="J20" s="3"/>
      <c r="K20" s="4"/>
      <c r="L20" s="3"/>
    </row>
    <row r="21" spans="1:12" x14ac:dyDescent="0.25">
      <c r="A21" s="22"/>
      <c r="B21" s="25"/>
      <c r="C21" s="12"/>
      <c r="D21" s="3"/>
      <c r="E21" s="12" t="str">
        <f>IF(C21&gt;0,LOOKUP(C21,'Lista de Escolas'!$C$3:$C$178,'Lista de Escolas'!$E$3:$E$178),"")</f>
        <v/>
      </c>
      <c r="F21" s="12"/>
      <c r="G21" s="12"/>
      <c r="H21" s="12"/>
      <c r="I21" s="12"/>
      <c r="J21" s="3"/>
      <c r="K21" s="4"/>
      <c r="L21" s="3"/>
    </row>
    <row r="22" spans="1:12" x14ac:dyDescent="0.25">
      <c r="A22" s="23"/>
      <c r="B22" s="25"/>
      <c r="C22" s="12"/>
      <c r="D22" s="3"/>
      <c r="E22" s="12" t="str">
        <f>IF(C22&gt;0,LOOKUP(C22,'Lista de Escolas'!$C$3:$C$178,'Lista de Escolas'!$E$3:$E$178),"")</f>
        <v/>
      </c>
      <c r="F22" s="12"/>
      <c r="G22" s="12"/>
      <c r="H22" s="12"/>
      <c r="I22" s="12"/>
      <c r="J22" s="3"/>
      <c r="K22" s="4"/>
      <c r="L22" s="3"/>
    </row>
    <row r="23" spans="1:12" x14ac:dyDescent="0.25">
      <c r="A23" s="23"/>
      <c r="B23" s="25"/>
      <c r="C23" s="12"/>
      <c r="D23" s="3"/>
      <c r="E23" s="12" t="str">
        <f>IF(C23&gt;0,LOOKUP(C23,'Lista de Escolas'!$C$3:$C$178,'Lista de Escolas'!$E$3:$E$178),"")</f>
        <v/>
      </c>
      <c r="F23" s="12"/>
      <c r="G23" s="12"/>
      <c r="H23" s="12"/>
      <c r="I23" s="12"/>
      <c r="J23" s="3"/>
      <c r="K23" s="4"/>
      <c r="L23" s="3"/>
    </row>
    <row r="24" spans="1:12" x14ac:dyDescent="0.25">
      <c r="A24" s="23"/>
      <c r="B24" s="25"/>
      <c r="C24" s="12"/>
      <c r="D24" s="3"/>
      <c r="E24" s="12" t="str">
        <f>IF(C24&gt;0,LOOKUP(C24,'Lista de Escolas'!$C$3:$C$178,'Lista de Escolas'!$E$3:$E$178),"")</f>
        <v/>
      </c>
      <c r="F24" s="12"/>
      <c r="G24" s="12"/>
      <c r="H24" s="12"/>
      <c r="I24" s="12"/>
      <c r="J24" s="3"/>
      <c r="K24" s="4"/>
      <c r="L24" s="3"/>
    </row>
    <row r="25" spans="1:12" x14ac:dyDescent="0.25">
      <c r="A25" s="23"/>
      <c r="B25" s="25"/>
      <c r="C25" s="12"/>
      <c r="D25" s="3"/>
      <c r="E25" s="12" t="str">
        <f>IF(C25&gt;0,LOOKUP(C25,'Lista de Escolas'!$C$3:$C$178,'Lista de Escolas'!$E$3:$E$178),"")</f>
        <v/>
      </c>
      <c r="F25" s="12"/>
      <c r="G25" s="12"/>
      <c r="H25" s="12"/>
      <c r="I25" s="12"/>
      <c r="J25" s="3"/>
      <c r="K25" s="4"/>
      <c r="L25" s="3"/>
    </row>
    <row r="26" spans="1:12" x14ac:dyDescent="0.25">
      <c r="A26" s="22"/>
      <c r="B26" s="25"/>
      <c r="C26" s="12"/>
      <c r="D26" s="12"/>
      <c r="E26" s="12" t="str">
        <f>IF(C26&gt;0,LOOKUP(C26,'Lista de Escolas'!$C$3:$C$178,'Lista de Escolas'!$E$3:$E$178),"")</f>
        <v/>
      </c>
      <c r="F26" s="12"/>
      <c r="G26" s="12"/>
      <c r="H26" s="12"/>
      <c r="I26" s="12"/>
      <c r="J26" s="12"/>
      <c r="K26" s="91"/>
      <c r="L26" s="12"/>
    </row>
    <row r="27" spans="1:12" x14ac:dyDescent="0.25">
      <c r="A27" s="22"/>
      <c r="B27" s="25"/>
      <c r="C27" s="12"/>
      <c r="D27" s="12"/>
      <c r="E27" s="12" t="str">
        <f>IF(C27&gt;0,LOOKUP(C27,'Lista de Escolas'!$C$3:$C$178,'Lista de Escolas'!$E$3:$E$178),"")</f>
        <v/>
      </c>
      <c r="F27" s="12"/>
      <c r="G27" s="12"/>
      <c r="H27" s="12"/>
      <c r="I27" s="12"/>
      <c r="J27" s="12"/>
      <c r="K27" s="14"/>
      <c r="L27" s="12"/>
    </row>
    <row r="28" spans="1:12" x14ac:dyDescent="0.25">
      <c r="A28" s="22"/>
      <c r="B28" s="25"/>
      <c r="C28" s="12"/>
      <c r="D28" s="3"/>
      <c r="E28" s="12" t="str">
        <f>IF(C28&gt;0,LOOKUP(C28,'Lista de Escolas'!$C$3:$C$178,'Lista de Escolas'!$E$3:$E$178),"")</f>
        <v/>
      </c>
      <c r="F28" s="12"/>
      <c r="G28" s="12"/>
      <c r="H28" s="12"/>
      <c r="I28" s="12"/>
      <c r="J28" s="3"/>
      <c r="K28" s="5"/>
      <c r="L28" s="3"/>
    </row>
    <row r="29" spans="1:12" x14ac:dyDescent="0.25">
      <c r="A29" s="22"/>
      <c r="B29" s="25"/>
      <c r="C29" s="12"/>
      <c r="D29" s="12"/>
      <c r="E29" s="12" t="str">
        <f>IF(C29&gt;0,LOOKUP(C29,'Lista de Escolas'!$C$3:$C$178,'Lista de Escolas'!$E$3:$E$178),"")</f>
        <v/>
      </c>
      <c r="F29" s="12"/>
      <c r="G29" s="12"/>
      <c r="H29" s="12"/>
      <c r="I29" s="12"/>
      <c r="J29" s="12"/>
      <c r="K29" s="14"/>
      <c r="L29" s="12"/>
    </row>
    <row r="30" spans="1:12" x14ac:dyDescent="0.25">
      <c r="A30" s="22"/>
      <c r="B30" s="25"/>
      <c r="C30" s="12"/>
      <c r="D30" s="3"/>
      <c r="E30" s="12" t="str">
        <f>IF(C30&gt;0,LOOKUP(C30,'Lista de Escolas'!$C$3:$C$178,'Lista de Escolas'!$E$3:$E$178),"")</f>
        <v/>
      </c>
      <c r="F30" s="12"/>
      <c r="G30" s="12"/>
      <c r="H30" s="12"/>
      <c r="I30" s="12"/>
      <c r="J30" s="3"/>
      <c r="K30" s="5"/>
      <c r="L30" s="3"/>
    </row>
    <row r="31" spans="1:12" x14ac:dyDescent="0.25">
      <c r="A31" s="22"/>
      <c r="B31" s="22"/>
      <c r="C31" s="12"/>
      <c r="D31" s="12"/>
      <c r="E31" s="12" t="str">
        <f>IF(C31&gt;0,LOOKUP(C31,'Lista de Escolas'!$C$3:$C$178,'Lista de Escolas'!$E$3:$E$178),"")</f>
        <v/>
      </c>
      <c r="F31" s="12"/>
      <c r="G31" s="12"/>
      <c r="H31" s="12"/>
      <c r="I31" s="12"/>
      <c r="J31" s="12"/>
      <c r="K31" s="14"/>
      <c r="L31" s="3"/>
    </row>
    <row r="32" spans="1:12" x14ac:dyDescent="0.25">
      <c r="A32" s="23"/>
      <c r="B32" s="94"/>
      <c r="C32" s="12"/>
      <c r="D32" s="3"/>
      <c r="E32" s="12" t="str">
        <f>IF(C32&gt;0,LOOKUP(C32,'Lista de Escolas'!$C$3:$C$178,'Lista de Escolas'!$E$3:$E$178),"")</f>
        <v/>
      </c>
      <c r="F32" s="12"/>
      <c r="G32" s="12"/>
      <c r="H32" s="12"/>
      <c r="I32" s="12"/>
      <c r="J32" s="3"/>
      <c r="K32" s="5"/>
      <c r="L32" s="3"/>
    </row>
    <row r="33" spans="1:13" x14ac:dyDescent="0.25">
      <c r="A33" s="23"/>
      <c r="B33" s="94"/>
      <c r="E33" s="12" t="str">
        <f>IF(C33&gt;0,LOOKUP(C33,'Lista de Escolas'!$C$3:$C$178,'Lista de Escolas'!$E$3:$E$178),"")</f>
        <v/>
      </c>
      <c r="F33" s="12"/>
      <c r="G33" s="12"/>
      <c r="H33" s="12"/>
      <c r="I33" s="12"/>
    </row>
    <row r="34" spans="1:13" x14ac:dyDescent="0.25">
      <c r="A34" s="22"/>
      <c r="B34" s="22"/>
      <c r="C34" s="23"/>
      <c r="D34" s="23"/>
      <c r="E34" s="12" t="str">
        <f>IF(C34&gt;0,LOOKUP(C34,'Lista de Escolas'!$C$3:$C$178,'Lista de Escolas'!$E$3:$E$178),"")</f>
        <v/>
      </c>
      <c r="F34" s="12"/>
      <c r="G34" s="12"/>
      <c r="H34" s="12"/>
      <c r="I34" s="12"/>
      <c r="J34" s="23"/>
      <c r="K34" s="24"/>
      <c r="L34" s="23"/>
      <c r="M34" s="92"/>
    </row>
    <row r="35" spans="1:13" x14ac:dyDescent="0.25">
      <c r="A35" s="23"/>
      <c r="B35" s="22"/>
      <c r="C35" s="23"/>
      <c r="D35" s="20"/>
      <c r="E35" s="12" t="str">
        <f>IF(C35&gt;0,LOOKUP(C35,'Lista de Escolas'!$C$3:$C$178,'Lista de Escolas'!$E$3:$E$178),"")</f>
        <v/>
      </c>
      <c r="F35" s="12"/>
      <c r="G35" s="12"/>
      <c r="H35" s="12"/>
      <c r="I35" s="12"/>
      <c r="J35" s="20"/>
      <c r="K35" s="21"/>
      <c r="L35" s="20"/>
      <c r="M35" s="92"/>
    </row>
    <row r="36" spans="1:13" x14ac:dyDescent="0.25">
      <c r="A36" s="22"/>
      <c r="B36" s="22"/>
      <c r="C36" s="23"/>
      <c r="D36" s="20"/>
      <c r="E36" s="12" t="str">
        <f>IF(C36&gt;0,LOOKUP(C36,'Lista de Escolas'!$C$3:$C$178,'Lista de Escolas'!$E$3:$E$178),"")</f>
        <v/>
      </c>
      <c r="F36" s="12"/>
      <c r="G36" s="12"/>
      <c r="H36" s="12"/>
      <c r="I36" s="12"/>
      <c r="J36" s="20"/>
      <c r="K36" s="21"/>
      <c r="L36" s="23"/>
      <c r="M36" s="92"/>
    </row>
    <row r="37" spans="1:13" x14ac:dyDescent="0.25">
      <c r="A37" s="22"/>
      <c r="B37" s="22"/>
      <c r="C37" s="23"/>
      <c r="D37" s="23"/>
      <c r="E37" s="12" t="str">
        <f>IF(C37&gt;0,LOOKUP(C37,'Lista de Escolas'!$C$3:$C$178,'Lista de Escolas'!$E$3:$E$178),"")</f>
        <v/>
      </c>
      <c r="F37" s="12"/>
      <c r="G37" s="12"/>
      <c r="H37" s="12"/>
      <c r="I37" s="12"/>
      <c r="J37" s="23"/>
      <c r="K37" s="24"/>
      <c r="L37" s="23"/>
      <c r="M37" s="92"/>
    </row>
    <row r="38" spans="1:13" x14ac:dyDescent="0.25">
      <c r="A38" s="23"/>
      <c r="B38" s="22"/>
      <c r="C38" s="23"/>
      <c r="D38" s="23"/>
      <c r="E38" s="12" t="str">
        <f>IF(C38&gt;0,LOOKUP(C38,'Lista de Escolas'!$C$3:$C$178,'Lista de Escolas'!$E$3:$E$178),"")</f>
        <v/>
      </c>
      <c r="F38" s="12"/>
      <c r="G38" s="12"/>
      <c r="H38" s="12"/>
      <c r="I38" s="12"/>
      <c r="J38" s="23"/>
      <c r="K38" s="24"/>
      <c r="L38" s="23"/>
      <c r="M38" s="92"/>
    </row>
    <row r="39" spans="1:13" x14ac:dyDescent="0.25">
      <c r="A39" s="22"/>
      <c r="B39" s="22"/>
      <c r="C39" s="23"/>
      <c r="D39" s="20"/>
      <c r="E39" s="12" t="str">
        <f>IF(C39&gt;0,LOOKUP(C39,'Lista de Escolas'!$C$3:$C$178,'Lista de Escolas'!$E$3:$E$178),"")</f>
        <v/>
      </c>
      <c r="F39" s="12"/>
      <c r="G39" s="12"/>
      <c r="H39" s="12"/>
      <c r="I39" s="12"/>
      <c r="J39" s="20"/>
      <c r="K39" s="21"/>
      <c r="L39" s="23"/>
      <c r="M39" s="92"/>
    </row>
    <row r="40" spans="1:13" x14ac:dyDescent="0.25">
      <c r="A40" s="22"/>
      <c r="B40" s="22"/>
      <c r="C40" s="23"/>
      <c r="D40" s="23"/>
      <c r="E40" s="12" t="str">
        <f>IF(C40&gt;0,LOOKUP(C40,'Lista de Escolas'!$C$3:$C$178,'Lista de Escolas'!$E$3:$E$178),"")</f>
        <v/>
      </c>
      <c r="F40" s="12"/>
      <c r="G40" s="12"/>
      <c r="H40" s="12"/>
      <c r="I40" s="12"/>
      <c r="J40" s="23"/>
      <c r="K40" s="24"/>
      <c r="L40" s="23"/>
      <c r="M40" s="92"/>
    </row>
    <row r="41" spans="1:13" x14ac:dyDescent="0.25">
      <c r="A41" s="22"/>
      <c r="B41" s="22"/>
      <c r="C41" s="23"/>
      <c r="D41" s="20"/>
      <c r="E41" s="12" t="str">
        <f>IF(C41&gt;0,LOOKUP(C41,'Lista de Escolas'!$C$3:$C$178,'Lista de Escolas'!$E$3:$E$178),"")</f>
        <v/>
      </c>
      <c r="F41" s="12"/>
      <c r="G41" s="12"/>
      <c r="H41" s="12"/>
      <c r="I41" s="12"/>
      <c r="J41" s="20"/>
      <c r="K41" s="21"/>
      <c r="L41" s="23"/>
      <c r="M41" s="92"/>
    </row>
    <row r="42" spans="1:13" x14ac:dyDescent="0.25">
      <c r="A42" s="22"/>
      <c r="B42" s="22"/>
      <c r="C42" s="23"/>
      <c r="D42" s="23"/>
      <c r="E42" s="12" t="str">
        <f>IF(C42&gt;0,LOOKUP(C42,'Lista de Escolas'!$C$3:$C$178,'Lista de Escolas'!$E$3:$E$178),"")</f>
        <v/>
      </c>
      <c r="F42" s="12"/>
      <c r="G42" s="12"/>
      <c r="H42" s="12"/>
      <c r="I42" s="12"/>
      <c r="J42" s="23"/>
      <c r="K42" s="24"/>
      <c r="L42" s="23"/>
      <c r="M42" s="92"/>
    </row>
    <row r="43" spans="1:13" x14ac:dyDescent="0.25">
      <c r="A43" s="23"/>
      <c r="B43" s="22"/>
      <c r="C43" s="23"/>
      <c r="D43" s="20"/>
      <c r="E43" s="12" t="str">
        <f>IF(C43&gt;0,LOOKUP(C43,'Lista de Escolas'!$C$3:$C$178,'Lista de Escolas'!$E$3:$E$178),"")</f>
        <v/>
      </c>
      <c r="F43" s="12"/>
      <c r="G43" s="12"/>
      <c r="H43" s="12"/>
      <c r="I43" s="12"/>
      <c r="J43" s="20"/>
      <c r="K43" s="21"/>
      <c r="L43" s="20"/>
      <c r="M43" s="92"/>
    </row>
    <row r="44" spans="1:13" x14ac:dyDescent="0.25">
      <c r="A44" s="22"/>
      <c r="B44" s="22"/>
      <c r="C44" s="23"/>
      <c r="D44" s="20"/>
      <c r="E44" s="12" t="str">
        <f>IF(C44&gt;0,LOOKUP(C44,'Lista de Escolas'!$C$3:$C$178,'Lista de Escolas'!$E$3:$E$178),"")</f>
        <v/>
      </c>
      <c r="F44" s="12"/>
      <c r="G44" s="12"/>
      <c r="H44" s="12"/>
      <c r="I44" s="12"/>
      <c r="J44" s="20"/>
      <c r="K44" s="21"/>
      <c r="L44" s="20"/>
      <c r="M44" s="92"/>
    </row>
    <row r="45" spans="1:13" x14ac:dyDescent="0.25">
      <c r="A45" s="22"/>
      <c r="B45" s="22"/>
      <c r="C45" s="23"/>
      <c r="D45" s="20"/>
      <c r="E45" s="12" t="str">
        <f>IF(C45&gt;0,LOOKUP(C45,'Lista de Escolas'!$C$3:$C$178,'Lista de Escolas'!$E$3:$E$178),"")</f>
        <v/>
      </c>
      <c r="F45" s="12"/>
      <c r="G45" s="12"/>
      <c r="H45" s="12"/>
      <c r="I45" s="12"/>
      <c r="J45" s="20"/>
      <c r="K45" s="21"/>
      <c r="L45" s="20"/>
      <c r="M45" s="92"/>
    </row>
    <row r="46" spans="1:13" x14ac:dyDescent="0.25">
      <c r="A46" s="23"/>
      <c r="B46" s="22"/>
      <c r="C46" s="23"/>
      <c r="D46" s="20"/>
      <c r="E46" s="12" t="str">
        <f>IF(C46&gt;0,LOOKUP(C46,'Lista de Escolas'!$C$3:$C$178,'Lista de Escolas'!$E$3:$E$178),"")</f>
        <v/>
      </c>
      <c r="F46" s="12"/>
      <c r="G46" s="12"/>
      <c r="H46" s="12"/>
      <c r="I46" s="12"/>
      <c r="J46" s="23"/>
      <c r="K46" s="24"/>
      <c r="L46" s="23"/>
      <c r="M46" s="92"/>
    </row>
    <row r="47" spans="1:13" x14ac:dyDescent="0.25">
      <c r="A47" s="23"/>
      <c r="B47" s="22"/>
      <c r="C47" s="23"/>
      <c r="D47" s="20"/>
      <c r="E47" s="12" t="str">
        <f>IF(C47&gt;0,LOOKUP(C47,'Lista de Escolas'!$C$3:$C$178,'Lista de Escolas'!$E$3:$E$178),"")</f>
        <v/>
      </c>
      <c r="F47" s="12"/>
      <c r="G47" s="12"/>
      <c r="H47" s="12"/>
      <c r="I47" s="12"/>
      <c r="J47" s="20"/>
      <c r="K47" s="21"/>
      <c r="L47" s="20"/>
      <c r="M47" s="92"/>
    </row>
    <row r="48" spans="1:13" x14ac:dyDescent="0.25">
      <c r="A48" s="22"/>
      <c r="B48" s="22"/>
      <c r="C48" s="23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0"/>
      <c r="K48" s="21"/>
      <c r="L48" s="20"/>
      <c r="M48" s="92"/>
    </row>
    <row r="49" spans="1:13" x14ac:dyDescent="0.25">
      <c r="A49" s="22"/>
      <c r="B49" s="22"/>
      <c r="C49" s="23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"/>
      <c r="K49" s="21"/>
      <c r="L49" s="20"/>
      <c r="M49" s="92"/>
    </row>
    <row r="50" spans="1:13" x14ac:dyDescent="0.25">
      <c r="A50" s="22"/>
      <c r="B50" s="22"/>
      <c r="C50" s="23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0"/>
      <c r="K50" s="21"/>
      <c r="L50" s="23"/>
      <c r="M50" s="92"/>
    </row>
    <row r="51" spans="1:13" x14ac:dyDescent="0.25">
      <c r="C51" s="23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0"/>
      <c r="K51" s="21"/>
      <c r="L51" s="20"/>
      <c r="M51" s="92"/>
    </row>
    <row r="52" spans="1:13" x14ac:dyDescent="0.25">
      <c r="E52" s="12" t="str">
        <f>IF(C52&gt;0,LOOKUP(C52,'Lista de Escolas'!$C$3:$C$178,'Lista de Escolas'!$E$3:$E$178),"")</f>
        <v/>
      </c>
      <c r="F52" s="12"/>
      <c r="G52" s="12"/>
      <c r="H52" s="12"/>
      <c r="I52" s="12"/>
    </row>
    <row r="53" spans="1:13" x14ac:dyDescent="0.25">
      <c r="E53" s="12" t="str">
        <f>IF(C53&gt;0,LOOKUP(C53,'Lista de Escolas'!$C$3:$C$178,'Lista de Escolas'!$E$3:$E$178),"")</f>
        <v/>
      </c>
      <c r="F53" s="12"/>
      <c r="G53" s="12"/>
      <c r="H53" s="12"/>
      <c r="I53" s="12"/>
    </row>
    <row r="54" spans="1:13" x14ac:dyDescent="0.25">
      <c r="E54" s="12" t="str">
        <f>IF(C54&gt;0,LOOKUP(C54,'Lista de Escolas'!$C$3:$C$178,'Lista de Escolas'!$E$3:$E$178),"")</f>
        <v/>
      </c>
      <c r="F54" s="12"/>
      <c r="G54" s="12"/>
      <c r="H54" s="12"/>
      <c r="I54" s="12"/>
    </row>
    <row r="55" spans="1:13" x14ac:dyDescent="0.25">
      <c r="E55" s="12" t="str">
        <f>IF(C55&gt;0,LOOKUP(C55,'Lista de Escolas'!$C$3:$C$178,'Lista de Escolas'!$E$3:$E$178),"")</f>
        <v/>
      </c>
      <c r="F55" s="12"/>
      <c r="G55" s="12"/>
      <c r="H55" s="12"/>
      <c r="I55" s="12"/>
    </row>
    <row r="56" spans="1:13" x14ac:dyDescent="0.25">
      <c r="E56" s="12" t="str">
        <f>IF(C56&gt;0,LOOKUP(C56,'Lista de Escolas'!$C$3:$C$178,'Lista de Escolas'!$E$3:$E$178),"")</f>
        <v/>
      </c>
      <c r="F56" s="12"/>
      <c r="G56" s="12"/>
      <c r="H56" s="12"/>
      <c r="I56" s="12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</row>
    <row r="58" spans="1:13" x14ac:dyDescent="0.25">
      <c r="E58" s="12" t="str">
        <f>IF(C58&gt;0,LOOKUP(C58,'Lista de Escolas'!$C$3:$C$178,'Lista de Escolas'!$E$3:$E$178),"")</f>
        <v/>
      </c>
      <c r="F58" s="12"/>
      <c r="G58" s="12"/>
      <c r="H58" s="12"/>
      <c r="I58" s="12"/>
    </row>
    <row r="59" spans="1:13" x14ac:dyDescent="0.25">
      <c r="E59" s="12" t="str">
        <f>IF(C57&gt;0,LOOKUP(C57,'Lista de Escolas'!$C$3:$C$178,'Lista de Escolas'!$E$3:$E$178),"")</f>
        <v/>
      </c>
      <c r="F59" s="12"/>
      <c r="G59" s="12"/>
      <c r="H59" s="12"/>
      <c r="I59" s="12"/>
    </row>
    <row r="60" spans="1:13" x14ac:dyDescent="0.25">
      <c r="B60" s="12" t="s">
        <v>31</v>
      </c>
      <c r="E60" s="1">
        <f>COUNTIFS(E3:E50,"=Escolas Rainha Santa Isabel")</f>
        <v>0</v>
      </c>
      <c r="J60" s="1" t="s">
        <v>32</v>
      </c>
    </row>
    <row r="61" spans="1:13" x14ac:dyDescent="0.25">
      <c r="B61" s="12">
        <f>COUNT(B5:B59)</f>
        <v>0</v>
      </c>
      <c r="E61" s="1">
        <f>COUNTIFS(E3:E50,"=Escolas Dr. Correia Mateus")</f>
        <v>0</v>
      </c>
      <c r="J61" s="1" t="s">
        <v>33</v>
      </c>
    </row>
    <row r="62" spans="1:13" x14ac:dyDescent="0.25">
      <c r="E62" s="1">
        <f>COUNTIFS(E3:E50,"=Escolas da Caranguejeira - Santa Catarina da Serra")</f>
        <v>0</v>
      </c>
      <c r="J62" s="1" t="s">
        <v>67</v>
      </c>
    </row>
    <row r="63" spans="1:13" x14ac:dyDescent="0.25">
      <c r="E63" s="1">
        <f>COUNTIFS(E3:E50,"=Escolas de Colmeias")</f>
        <v>0</v>
      </c>
      <c r="J63" s="1" t="s">
        <v>35</v>
      </c>
    </row>
    <row r="64" spans="1:13" x14ac:dyDescent="0.25">
      <c r="E64" s="1">
        <f>COUNTIFS(E3:E50,"=Escolas de Marrazes")</f>
        <v>0</v>
      </c>
      <c r="J64" s="1" t="s">
        <v>36</v>
      </c>
    </row>
    <row r="65" spans="5:10" x14ac:dyDescent="0.25">
      <c r="E65" s="1">
        <f>COUNTIFS(E3:E50,"=Escolas Domingos Sequeira")</f>
        <v>0</v>
      </c>
      <c r="J65" s="1" t="s">
        <v>37</v>
      </c>
    </row>
    <row r="66" spans="5:10" x14ac:dyDescent="0.25">
      <c r="E66" s="1">
        <f>COUNTIFS(E3:E50,"=Escolas D. Dinis")</f>
        <v>0</v>
      </c>
      <c r="J66" s="1" t="s">
        <v>38</v>
      </c>
    </row>
    <row r="67" spans="5:10" x14ac:dyDescent="0.25">
      <c r="E67" s="1">
        <f>COUNTIFS(E4:E51,"=Henrique Sommer")</f>
        <v>0</v>
      </c>
      <c r="J67" s="1" t="s">
        <v>39</v>
      </c>
    </row>
    <row r="68" spans="5:10" x14ac:dyDescent="0.25">
      <c r="E68" s="1">
        <f>SUM(E60:E67)</f>
        <v>0</v>
      </c>
      <c r="J68" s="1" t="s">
        <v>69</v>
      </c>
    </row>
  </sheetData>
  <customSheetViews>
    <customSheetView guid="{7E850ADC-7020-4CE4-9656-1D37A8554340}" hiddenColumns="1" topLeftCell="A16">
      <selection activeCell="E63" sqref="E63"/>
      <pageMargins left="0" right="0" top="0" bottom="0" header="0" footer="0"/>
      <pageSetup paperSize="9" orientation="portrait" horizontalDpi="1200" verticalDpi="1200"/>
    </customSheetView>
    <customSheetView guid="{6C6D19B4-0AAB-4D39-9585-2246A62E9472}" hiddenColumns="1" topLeftCell="A16">
      <selection activeCell="E63" sqref="E63"/>
      <pageMargins left="0" right="0" top="0" bottom="0" header="0" footer="0"/>
      <pageSetup paperSize="9" orientation="portrait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7"/>
  <sheetViews>
    <sheetView topLeftCell="B1" zoomScaleNormal="100" workbookViewId="0">
      <selection activeCell="F5" sqref="F5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" customWidth="1"/>
    <col min="4" max="4" width="19.42578125" style="1" hidden="1" customWidth="1"/>
    <col min="5" max="5" width="48.28515625" style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1" customWidth="1"/>
    <col min="11" max="11" width="104" style="7" customWidth="1"/>
    <col min="12" max="12" width="63.42578125" style="1" bestFit="1" customWidth="1"/>
  </cols>
  <sheetData>
    <row r="1" spans="1:13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77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1</v>
      </c>
      <c r="B4" s="88" t="s">
        <v>2</v>
      </c>
      <c r="C4" s="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4" customFormat="1" ht="18" customHeight="1" x14ac:dyDescent="0.2">
      <c r="A5" s="11"/>
      <c r="B5" s="25"/>
      <c r="C5" s="12"/>
      <c r="D5" s="12"/>
      <c r="E5" s="12" t="str">
        <f>IF(C5&gt;0,LOOKUP(C5,'Lista de Escolas'!$C$3:$C$176,'Lista de Escolas'!$E$3:$E$176),"")</f>
        <v/>
      </c>
      <c r="F5" s="12"/>
      <c r="G5" s="12"/>
      <c r="H5" s="12"/>
      <c r="I5" s="12"/>
      <c r="J5" s="12"/>
      <c r="K5" s="90"/>
      <c r="L5" s="12" t="s">
        <v>540</v>
      </c>
    </row>
    <row r="6" spans="1:13" s="4" customFormat="1" ht="18" customHeight="1" x14ac:dyDescent="0.2">
      <c r="A6" s="11"/>
      <c r="B6" s="25"/>
      <c r="C6" s="12"/>
      <c r="D6" s="12"/>
      <c r="E6" s="12" t="str">
        <f>IF(C6&gt;0,LOOKUP(C6,'Lista de Escolas'!$C$3:$C$176,'Lista de Escolas'!$E$3:$E$176),"")</f>
        <v/>
      </c>
      <c r="F6" s="12"/>
      <c r="G6" s="12"/>
      <c r="H6" s="12"/>
      <c r="I6" s="12"/>
      <c r="J6" s="12"/>
      <c r="K6" s="90"/>
      <c r="L6" s="12"/>
    </row>
    <row r="7" spans="1:13" s="4" customFormat="1" ht="18" customHeight="1" x14ac:dyDescent="0.2">
      <c r="A7" s="11"/>
      <c r="B7" s="25"/>
      <c r="C7" s="12"/>
      <c r="D7" s="12"/>
      <c r="E7" s="12" t="str">
        <f>IF(C7&gt;0,LOOKUP(C7,'Lista de Escolas'!$C$3:$C$176,'Lista de Escolas'!$E$3:$E$176),"")</f>
        <v/>
      </c>
      <c r="F7" s="12"/>
      <c r="G7" s="12"/>
      <c r="H7" s="12"/>
      <c r="I7" s="12"/>
      <c r="J7" s="12"/>
      <c r="K7" s="90"/>
      <c r="L7" s="3"/>
    </row>
    <row r="8" spans="1:13" s="4" customFormat="1" ht="18" customHeight="1" x14ac:dyDescent="0.2">
      <c r="A8" s="11"/>
      <c r="B8" s="25"/>
      <c r="C8" s="12"/>
      <c r="D8" s="12"/>
      <c r="E8" s="12" t="str">
        <f>IF(C8&gt;0,LOOKUP(C8,'Lista de Escolas'!$C$3:$C$176,'Lista de Escolas'!$E$3:$E$176),"")</f>
        <v/>
      </c>
      <c r="F8" s="12"/>
      <c r="G8" s="12"/>
      <c r="H8" s="12"/>
      <c r="I8" s="12"/>
      <c r="J8" s="12"/>
      <c r="K8" s="90"/>
      <c r="L8" s="12"/>
    </row>
    <row r="9" spans="1:13" s="4" customFormat="1" ht="18" customHeight="1" x14ac:dyDescent="0.2">
      <c r="A9" s="11"/>
      <c r="B9" s="25"/>
      <c r="C9" s="12"/>
      <c r="E9" s="12" t="str">
        <f>IF(C9&gt;0,LOOKUP(C9,'Lista de Escolas'!$C$3:$C$176,'Lista de Escolas'!$E$3:$E$176),"")</f>
        <v/>
      </c>
      <c r="F9" s="12"/>
      <c r="G9" s="12"/>
      <c r="H9" s="12"/>
      <c r="I9" s="12"/>
      <c r="J9" s="3"/>
      <c r="K9" s="90"/>
      <c r="L9" s="3"/>
    </row>
    <row r="10" spans="1:13" s="4" customFormat="1" ht="18" customHeight="1" x14ac:dyDescent="0.2">
      <c r="A10" s="11"/>
      <c r="B10" s="25"/>
      <c r="C10" s="12"/>
      <c r="E10" s="12" t="str">
        <f>IF(C10&gt;0,LOOKUP(C10,'Lista de Escolas'!$C$3:$C$176,'Lista de Escolas'!$E$3:$E$176),"")</f>
        <v/>
      </c>
      <c r="F10" s="12"/>
      <c r="G10" s="12"/>
      <c r="H10" s="12"/>
      <c r="I10" s="12"/>
      <c r="J10" s="12"/>
      <c r="K10" s="90"/>
      <c r="L10" s="12"/>
    </row>
    <row r="11" spans="1:13" s="4" customFormat="1" ht="18" customHeight="1" x14ac:dyDescent="0.2">
      <c r="A11" s="11"/>
      <c r="B11" s="6"/>
      <c r="C11" s="12"/>
      <c r="E11" s="12" t="str">
        <f>IF(C11&gt;0,LOOKUP(C11,'Lista de Escolas'!$C$3:$C$176,'Lista de Escolas'!$E$3:$E$176),"")</f>
        <v/>
      </c>
      <c r="F11" s="12"/>
      <c r="G11" s="12"/>
      <c r="H11" s="12"/>
      <c r="I11" s="12"/>
      <c r="J11" s="3"/>
      <c r="K11" s="90"/>
      <c r="L11" s="12"/>
    </row>
    <row r="12" spans="1:13" s="4" customFormat="1" ht="18" customHeight="1" x14ac:dyDescent="0.2">
      <c r="A12" s="22"/>
      <c r="B12" s="6"/>
      <c r="C12" s="12"/>
      <c r="E12" s="12" t="str">
        <f>IF(C12&gt;0,LOOKUP(C12,'Lista de Escolas'!$C$3:$C$176,'Lista de Escolas'!$E$3:$E$176),"")</f>
        <v/>
      </c>
      <c r="F12" s="12"/>
      <c r="G12" s="12"/>
      <c r="H12" s="12"/>
      <c r="I12" s="12"/>
      <c r="J12" s="3"/>
      <c r="K12" s="90"/>
      <c r="L12" s="12"/>
    </row>
    <row r="13" spans="1:13" ht="18" customHeight="1" x14ac:dyDescent="0.25">
      <c r="A13" s="22"/>
      <c r="B13" s="6"/>
      <c r="C13" s="12"/>
      <c r="D13" s="4"/>
      <c r="E13" s="12" t="str">
        <f>IF(C13&gt;0,LOOKUP(C13,'Lista de Escolas'!$C$3:$C$176,'Lista de Escolas'!$E$3:$E$176),"")</f>
        <v/>
      </c>
      <c r="F13" s="12"/>
      <c r="G13" s="12"/>
      <c r="H13" s="12"/>
      <c r="I13" s="12"/>
      <c r="J13" s="3"/>
      <c r="K13" s="4"/>
      <c r="L13" s="3"/>
      <c r="M13" s="3"/>
    </row>
    <row r="14" spans="1:13" ht="18" customHeight="1" x14ac:dyDescent="0.25">
      <c r="A14" s="22"/>
      <c r="B14" s="25"/>
      <c r="C14" s="108"/>
      <c r="D14" s="12"/>
      <c r="E14" s="12" t="str">
        <f>IF(C14&gt;0,LOOKUP(C14,'Lista de Escolas'!$C$3:$C$176,'Lista de Escolas'!$E$3:$E$176),"")</f>
        <v/>
      </c>
      <c r="F14" s="12"/>
      <c r="G14" s="12"/>
      <c r="H14" s="12"/>
      <c r="I14" s="12"/>
      <c r="J14" s="12"/>
      <c r="K14" s="90"/>
      <c r="L14" s="3"/>
    </row>
    <row r="15" spans="1:13" s="13" customFormat="1" ht="18" customHeight="1" x14ac:dyDescent="0.2">
      <c r="A15" s="22"/>
      <c r="B15" s="25"/>
      <c r="C15" s="2"/>
      <c r="D15" s="3"/>
      <c r="E15" s="12" t="str">
        <f>IF(C15&gt;0,LOOKUP(C15,'Lista de Escolas'!$C$3:$C$176,'Lista de Escolas'!$E$3:$E$176),"")</f>
        <v/>
      </c>
      <c r="F15" s="12"/>
      <c r="G15" s="12"/>
      <c r="H15" s="12"/>
      <c r="I15" s="12"/>
      <c r="J15" s="12"/>
      <c r="K15" s="91"/>
      <c r="L15" s="12"/>
    </row>
    <row r="16" spans="1:13" ht="18" customHeight="1" x14ac:dyDescent="0.25">
      <c r="A16" s="22"/>
      <c r="B16" s="25"/>
      <c r="C16" s="20"/>
      <c r="D16"/>
      <c r="E16" s="12" t="str">
        <f>IF(C16&gt;0,LOOKUP(C16,'Lista de Escolas'!$C$3:$C$176,'Lista de Escolas'!$E$3:$E$176),"")</f>
        <v/>
      </c>
      <c r="F16" s="12"/>
      <c r="G16" s="12"/>
      <c r="H16" s="12"/>
      <c r="I16" s="12"/>
      <c r="J16" s="12"/>
      <c r="K16" s="90"/>
      <c r="L16" s="3"/>
    </row>
    <row r="17" spans="1:12" ht="18" customHeight="1" x14ac:dyDescent="0.25">
      <c r="A17" s="22"/>
      <c r="B17" s="25"/>
      <c r="D17"/>
      <c r="E17" s="12" t="str">
        <f>IF(C17&gt;0,LOOKUP(C17,'Lista de Escolas'!$C$3:$C$176,'Lista de Escolas'!$E$3:$E$176),"")</f>
        <v/>
      </c>
      <c r="F17" s="12"/>
      <c r="G17" s="12"/>
      <c r="H17" s="12"/>
      <c r="I17" s="12"/>
      <c r="J17" s="3"/>
      <c r="K17" s="4"/>
      <c r="L17" s="3"/>
    </row>
    <row r="18" spans="1:12" ht="18" customHeight="1" x14ac:dyDescent="0.25">
      <c r="A18" s="22"/>
      <c r="B18" s="25"/>
      <c r="D18"/>
      <c r="E18" s="12" t="str">
        <f>IF(C18&gt;0,LOOKUP(C18,'Lista de Escolas'!$C$3:$C$176,'Lista de Escolas'!$E$3:$E$176),"")</f>
        <v/>
      </c>
      <c r="F18" s="12"/>
      <c r="G18" s="12"/>
      <c r="H18" s="12"/>
      <c r="I18" s="12"/>
      <c r="J18" s="3"/>
      <c r="K18" s="4"/>
      <c r="L18" s="3"/>
    </row>
    <row r="19" spans="1:12" ht="18" customHeight="1" x14ac:dyDescent="0.25">
      <c r="A19" s="22"/>
      <c r="B19" s="25"/>
      <c r="D19"/>
      <c r="E19" s="12" t="str">
        <f>IF(C19&gt;0,LOOKUP(C19,'Lista de Escolas'!$C$3:$C$176,'Lista de Escolas'!$E$3:$E$176),"")</f>
        <v/>
      </c>
      <c r="F19" s="12"/>
      <c r="G19" s="12"/>
      <c r="H19" s="12"/>
      <c r="I19" s="12"/>
      <c r="J19" s="3"/>
      <c r="K19" s="90"/>
      <c r="L19" s="12"/>
    </row>
    <row r="20" spans="1:12" ht="18" customHeight="1" x14ac:dyDescent="0.25">
      <c r="A20" s="22"/>
      <c r="B20" s="25"/>
      <c r="D20"/>
      <c r="E20" s="12" t="str">
        <f>IF(C20&gt;0,LOOKUP(C20,'Lista de Escolas'!$C$3:$C$176,'Lista de Escolas'!$E$3:$E$176),"")</f>
        <v/>
      </c>
      <c r="F20" s="12"/>
      <c r="G20" s="12"/>
      <c r="H20" s="12"/>
      <c r="I20" s="12"/>
      <c r="J20" s="3"/>
      <c r="K20" s="4"/>
      <c r="L20" s="3"/>
    </row>
    <row r="21" spans="1:12" x14ac:dyDescent="0.25">
      <c r="A21" s="22"/>
      <c r="B21" s="25"/>
      <c r="C21" s="12"/>
      <c r="D21" s="12"/>
      <c r="E21" s="12" t="str">
        <f>IF(C21&gt;0,LOOKUP(C21,'Lista de Escolas'!$C$3:$C$176,'Lista de Escolas'!$E$3:$E$176),"")</f>
        <v/>
      </c>
      <c r="F21" s="12"/>
      <c r="G21" s="12"/>
      <c r="H21" s="12"/>
      <c r="I21" s="12"/>
      <c r="J21" s="3"/>
      <c r="K21" s="4"/>
      <c r="L21" s="12"/>
    </row>
    <row r="22" spans="1:12" ht="18" customHeight="1" x14ac:dyDescent="0.25">
      <c r="A22" s="22"/>
      <c r="B22" s="25"/>
      <c r="C22" s="3"/>
      <c r="D22" s="3"/>
      <c r="E22" s="12" t="str">
        <f>IF(C22&gt;0,LOOKUP(C22,'Lista de Escolas'!$C$3:$C$176,'Lista de Escolas'!$E$3:$E$176),"")</f>
        <v/>
      </c>
      <c r="F22" s="12"/>
      <c r="G22" s="12"/>
      <c r="H22" s="12"/>
      <c r="I22" s="12"/>
      <c r="J22" s="3"/>
      <c r="K22" s="4"/>
      <c r="L22" s="3"/>
    </row>
    <row r="23" spans="1:12" ht="18" customHeight="1" x14ac:dyDescent="0.25">
      <c r="A23" s="22"/>
      <c r="B23" s="25"/>
      <c r="C23" s="3"/>
      <c r="D23" s="3"/>
      <c r="E23" s="12" t="str">
        <f>IF(C23&gt;0,LOOKUP(C23,'Lista de Escolas'!$C$3:$C$176,'Lista de Escolas'!$E$3:$E$176),"")</f>
        <v/>
      </c>
      <c r="F23" s="12"/>
      <c r="G23" s="12"/>
      <c r="H23" s="12"/>
      <c r="I23" s="12"/>
      <c r="J23" s="3"/>
      <c r="K23" s="90"/>
      <c r="L23" s="3"/>
    </row>
    <row r="24" spans="1:12" ht="18" customHeight="1" x14ac:dyDescent="0.25">
      <c r="A24" s="22"/>
      <c r="B24" s="25"/>
      <c r="C24" s="20"/>
      <c r="D24" s="12"/>
      <c r="E24" s="12" t="str">
        <f>IF(C24&gt;0,LOOKUP(C24,'Lista de Escolas'!$C$3:$C$176,'Lista de Escolas'!$E$3:$E$176),"")</f>
        <v/>
      </c>
      <c r="F24" s="12"/>
      <c r="G24" s="12"/>
      <c r="H24" s="12"/>
      <c r="I24" s="12"/>
      <c r="J24" s="3"/>
      <c r="K24" s="4"/>
      <c r="L24" s="12"/>
    </row>
    <row r="25" spans="1:12" ht="18" customHeight="1" x14ac:dyDescent="0.25">
      <c r="A25" s="22"/>
      <c r="B25" s="25"/>
      <c r="C25" s="12"/>
      <c r="D25" s="12"/>
      <c r="E25" s="12" t="str">
        <f>IF(C25&gt;0,LOOKUP(C25,'Lista de Escolas'!$C$3:$C$176,'Lista de Escolas'!$E$3:$E$176),"")</f>
        <v/>
      </c>
      <c r="F25" s="12"/>
      <c r="G25" s="12"/>
      <c r="H25" s="12"/>
      <c r="I25" s="12"/>
      <c r="J25" s="3"/>
      <c r="K25" s="91"/>
      <c r="L25" s="12"/>
    </row>
    <row r="26" spans="1:12" ht="18" customHeight="1" x14ac:dyDescent="0.25">
      <c r="A26" s="22"/>
      <c r="B26" s="25"/>
      <c r="C26" s="12"/>
      <c r="D26" s="12"/>
      <c r="E26" s="12" t="str">
        <f>IF(C26&gt;0,LOOKUP(C26,'Lista de Escolas'!$C$3:$C$176,'Lista de Escolas'!$E$3:$E$176),"")</f>
        <v/>
      </c>
      <c r="F26" s="12"/>
      <c r="G26" s="12"/>
      <c r="H26" s="12"/>
      <c r="I26" s="12"/>
      <c r="J26" s="3"/>
      <c r="K26" s="14"/>
      <c r="L26" s="12"/>
    </row>
    <row r="27" spans="1:12" ht="18" customHeight="1" x14ac:dyDescent="0.25">
      <c r="A27" s="22"/>
      <c r="B27" s="25"/>
      <c r="C27" s="12"/>
      <c r="D27" s="12"/>
      <c r="E27" s="12" t="str">
        <f>IF(C27&gt;0,LOOKUP(C27,'Lista de Escolas'!$C$3:$C$176,'Lista de Escolas'!$E$3:$E$176),"")</f>
        <v/>
      </c>
      <c r="F27" s="12"/>
      <c r="G27" s="12"/>
      <c r="H27" s="12"/>
      <c r="I27" s="12"/>
      <c r="J27" s="3"/>
      <c r="K27" s="14"/>
      <c r="L27" s="12"/>
    </row>
    <row r="28" spans="1:12" ht="18" customHeight="1" x14ac:dyDescent="0.25">
      <c r="A28" s="22"/>
      <c r="B28" s="25"/>
      <c r="C28" s="12"/>
      <c r="D28" s="12"/>
      <c r="E28" s="12" t="str">
        <f>IF(C28&gt;0,LOOKUP(C28,'Lista de Escolas'!$C$3:$C$176,'Lista de Escolas'!$E$3:$E$176),"")</f>
        <v/>
      </c>
      <c r="F28" s="12"/>
      <c r="G28" s="12"/>
      <c r="H28" s="12"/>
      <c r="I28" s="12"/>
      <c r="J28" s="3"/>
      <c r="K28" s="14"/>
      <c r="L28" s="12"/>
    </row>
    <row r="29" spans="1:12" ht="18" customHeight="1" x14ac:dyDescent="0.25">
      <c r="A29" s="22"/>
      <c r="B29" s="25"/>
      <c r="C29" s="3"/>
      <c r="D29" s="3"/>
      <c r="E29" s="12" t="str">
        <f>IF(C29&gt;0,LOOKUP(C29,'Lista de Escolas'!$C$3:$C$176,'Lista de Escolas'!$E$3:$E$176),"")</f>
        <v/>
      </c>
      <c r="F29" s="12"/>
      <c r="G29" s="12"/>
      <c r="H29" s="12"/>
      <c r="I29" s="12"/>
      <c r="J29" s="3"/>
      <c r="K29" s="5"/>
      <c r="L29" s="3"/>
    </row>
    <row r="30" spans="1:12" x14ac:dyDescent="0.25">
      <c r="A30" s="22"/>
      <c r="B30" s="22"/>
      <c r="C30" s="12"/>
      <c r="D30" s="12"/>
      <c r="E30" s="12" t="str">
        <f>IF(C30&gt;0,LOOKUP(C30,'Lista de Escolas'!$C$3:$C$176,'Lista de Escolas'!$E$3:$E$176),"")</f>
        <v/>
      </c>
      <c r="F30" s="12"/>
      <c r="G30" s="12"/>
      <c r="H30" s="12"/>
      <c r="I30" s="12"/>
      <c r="J30" s="3"/>
      <c r="K30" s="14"/>
      <c r="L30" s="3"/>
    </row>
    <row r="31" spans="1:12" x14ac:dyDescent="0.25">
      <c r="A31" s="23"/>
      <c r="B31" s="94"/>
      <c r="C31" s="3"/>
      <c r="D31" s="3"/>
      <c r="E31" s="12" t="str">
        <f>IF(C31&gt;0,LOOKUP(C31,'Lista de Escolas'!$C$3:$C$176,'Lista de Escolas'!$E$3:$E$176),"")</f>
        <v/>
      </c>
      <c r="F31" s="12"/>
      <c r="G31" s="12"/>
      <c r="H31" s="12"/>
      <c r="I31" s="12"/>
      <c r="J31" s="3"/>
      <c r="K31" s="5"/>
      <c r="L31" s="3"/>
    </row>
    <row r="32" spans="1:12" x14ac:dyDescent="0.25">
      <c r="A32" s="23"/>
      <c r="B32" s="94"/>
      <c r="D32"/>
      <c r="E32" s="12" t="str">
        <f>IF(C32&gt;0,LOOKUP(C32,'Lista de Escolas'!$C$3:$C$176,'Lista de Escolas'!$E$3:$E$176),"")</f>
        <v/>
      </c>
      <c r="F32" s="12"/>
      <c r="G32" s="12"/>
      <c r="H32" s="12"/>
      <c r="I32" s="12"/>
      <c r="J32" s="3"/>
    </row>
    <row r="33" spans="1:13" x14ac:dyDescent="0.25">
      <c r="A33" s="22"/>
      <c r="B33" s="22"/>
      <c r="C33" s="23"/>
      <c r="D33" s="23"/>
      <c r="E33" s="12" t="str">
        <f>IF(C33&gt;0,LOOKUP(C33,'Lista de Escolas'!$C$3:$C$176,'Lista de Escolas'!$E$3:$E$176),"")</f>
        <v/>
      </c>
      <c r="F33" s="12"/>
      <c r="G33" s="12"/>
      <c r="H33" s="12"/>
      <c r="I33" s="12"/>
      <c r="J33" s="3"/>
      <c r="K33" s="24"/>
      <c r="L33" s="23"/>
      <c r="M33" s="92"/>
    </row>
    <row r="34" spans="1:13" x14ac:dyDescent="0.25">
      <c r="A34" s="23"/>
      <c r="B34" s="22"/>
      <c r="C34" s="20"/>
      <c r="D34" s="20"/>
      <c r="E34" s="12" t="str">
        <f>IF(C34&gt;0,LOOKUP(C34,'Lista de Escolas'!$C$3:$C$176,'Lista de Escolas'!$E$3:$E$176),"")</f>
        <v/>
      </c>
      <c r="F34" s="12"/>
      <c r="G34" s="12"/>
      <c r="H34" s="12"/>
      <c r="I34" s="12"/>
      <c r="J34" s="3"/>
      <c r="K34" s="21"/>
      <c r="L34" s="20"/>
      <c r="M34" s="92"/>
    </row>
    <row r="35" spans="1:13" x14ac:dyDescent="0.25">
      <c r="A35" s="22"/>
      <c r="B35" s="22"/>
      <c r="C35" s="20"/>
      <c r="D35" s="20"/>
      <c r="E35" s="12" t="str">
        <f>IF(C35&gt;0,LOOKUP(C35,'Lista de Escolas'!$C$3:$C$176,'Lista de Escolas'!$E$3:$E$176),"")</f>
        <v/>
      </c>
      <c r="F35" s="12"/>
      <c r="G35" s="12"/>
      <c r="H35" s="12"/>
      <c r="I35" s="12"/>
      <c r="J35" s="3"/>
      <c r="K35" s="21"/>
      <c r="L35" s="23"/>
      <c r="M35" s="92"/>
    </row>
    <row r="36" spans="1:13" x14ac:dyDescent="0.25">
      <c r="A36" s="22"/>
      <c r="B36" s="22"/>
      <c r="C36" s="23"/>
      <c r="D36" s="23"/>
      <c r="E36" s="12" t="str">
        <f>IF(C36&gt;0,LOOKUP(C36,'Lista de Escolas'!$C$3:$C$176,'Lista de Escolas'!$E$3:$E$176),"")</f>
        <v/>
      </c>
      <c r="F36" s="12"/>
      <c r="G36" s="12"/>
      <c r="H36" s="12"/>
      <c r="I36" s="12"/>
      <c r="J36" s="3"/>
      <c r="K36" s="24"/>
      <c r="L36" s="23"/>
      <c r="M36" s="92"/>
    </row>
    <row r="37" spans="1:13" x14ac:dyDescent="0.25">
      <c r="A37" s="23"/>
      <c r="B37" s="22"/>
      <c r="C37" s="23"/>
      <c r="D37" s="23"/>
      <c r="E37" s="12" t="str">
        <f>IF(C37&gt;0,LOOKUP(C37,'Lista de Escolas'!$C$3:$C$176,'Lista de Escolas'!$E$3:$E$176),"")</f>
        <v/>
      </c>
      <c r="F37" s="12"/>
      <c r="G37" s="12"/>
      <c r="H37" s="12"/>
      <c r="I37" s="12"/>
      <c r="J37" s="3"/>
      <c r="K37" s="24"/>
      <c r="L37" s="23"/>
      <c r="M37" s="92"/>
    </row>
    <row r="38" spans="1:13" x14ac:dyDescent="0.25">
      <c r="A38" s="22"/>
      <c r="B38" s="22"/>
      <c r="C38" s="20"/>
      <c r="D38" s="20"/>
      <c r="E38" s="12" t="str">
        <f>IF(C38&gt;0,LOOKUP(C38,'Lista de Escolas'!$C$3:$C$176,'Lista de Escolas'!$E$3:$E$176),"")</f>
        <v/>
      </c>
      <c r="F38" s="12"/>
      <c r="G38" s="12"/>
      <c r="H38" s="12"/>
      <c r="I38" s="12"/>
      <c r="J38" s="3"/>
      <c r="K38" s="21"/>
      <c r="L38" s="23"/>
      <c r="M38" s="92"/>
    </row>
    <row r="39" spans="1:13" x14ac:dyDescent="0.25">
      <c r="A39" s="22"/>
      <c r="B39" s="22"/>
      <c r="C39" s="23"/>
      <c r="D39" s="23"/>
      <c r="E39" s="12" t="str">
        <f>IF(C39&gt;0,LOOKUP(C39,'Lista de Escolas'!$C$3:$C$176,'Lista de Escolas'!$E$3:$E$176),"")</f>
        <v/>
      </c>
      <c r="F39" s="12"/>
      <c r="G39" s="12"/>
      <c r="H39" s="12"/>
      <c r="I39" s="12"/>
      <c r="J39" s="3"/>
      <c r="K39" s="24"/>
      <c r="L39" s="23"/>
      <c r="M39" s="92"/>
    </row>
    <row r="40" spans="1:13" x14ac:dyDescent="0.25">
      <c r="A40" s="22"/>
      <c r="B40" s="22"/>
      <c r="C40" s="20"/>
      <c r="D40" s="20"/>
      <c r="E40" s="12" t="str">
        <f>IF(C40&gt;0,LOOKUP(C40,'Lista de Escolas'!$C$3:$C$176,'Lista de Escolas'!$E$3:$E$176),"")</f>
        <v/>
      </c>
      <c r="F40" s="12"/>
      <c r="G40" s="12"/>
      <c r="H40" s="12"/>
      <c r="I40" s="12"/>
      <c r="J40" s="3"/>
      <c r="K40" s="21"/>
      <c r="L40" s="23"/>
      <c r="M40" s="92"/>
    </row>
    <row r="41" spans="1:13" x14ac:dyDescent="0.25">
      <c r="A41" s="22"/>
      <c r="B41" s="22"/>
      <c r="C41" s="23"/>
      <c r="D41" s="23"/>
      <c r="E41" s="12" t="str">
        <f>IF(C41&gt;0,LOOKUP(C41,'Lista de Escolas'!$C$3:$C$176,'Lista de Escolas'!$E$3:$E$176),"")</f>
        <v/>
      </c>
      <c r="F41" s="12"/>
      <c r="G41" s="12"/>
      <c r="H41" s="12"/>
      <c r="I41" s="12"/>
      <c r="J41" s="3"/>
      <c r="K41" s="24"/>
      <c r="L41" s="23"/>
      <c r="M41" s="92"/>
    </row>
    <row r="42" spans="1:13" x14ac:dyDescent="0.25">
      <c r="A42" s="23"/>
      <c r="B42" s="22"/>
      <c r="C42" s="20"/>
      <c r="D42" s="20"/>
      <c r="E42" s="12" t="str">
        <f>IF(C42&gt;0,LOOKUP(C42,'Lista de Escolas'!$C$3:$C$176,'Lista de Escolas'!$E$3:$E$176),"")</f>
        <v/>
      </c>
      <c r="F42" s="12"/>
      <c r="G42" s="12"/>
      <c r="H42" s="12"/>
      <c r="I42" s="12"/>
      <c r="J42" s="3"/>
      <c r="K42" s="21"/>
      <c r="L42" s="20"/>
      <c r="M42" s="92"/>
    </row>
    <row r="43" spans="1:13" x14ac:dyDescent="0.25">
      <c r="A43" s="22"/>
      <c r="B43" s="22"/>
      <c r="C43" s="20"/>
      <c r="D43" s="20"/>
      <c r="E43" s="12" t="str">
        <f>IF(C43&gt;0,LOOKUP(C43,'Lista de Escolas'!$C$3:$C$176,'Lista de Escolas'!$E$3:$E$176),"")</f>
        <v/>
      </c>
      <c r="F43" s="12"/>
      <c r="G43" s="12"/>
      <c r="H43" s="12"/>
      <c r="I43" s="12"/>
      <c r="J43" s="3"/>
      <c r="K43" s="21"/>
      <c r="L43" s="20"/>
      <c r="M43" s="92"/>
    </row>
    <row r="44" spans="1:13" x14ac:dyDescent="0.25">
      <c r="A44" s="22"/>
      <c r="B44" s="22"/>
      <c r="C44" s="20"/>
      <c r="D44" s="20"/>
      <c r="E44" s="12" t="str">
        <f>IF(C44&gt;0,LOOKUP(C44,'Lista de Escolas'!$C$3:$C$176,'Lista de Escolas'!$E$3:$E$176),"")</f>
        <v/>
      </c>
      <c r="F44" s="12"/>
      <c r="G44" s="12"/>
      <c r="H44" s="12"/>
      <c r="I44" s="12"/>
      <c r="J44" s="3"/>
      <c r="K44" s="21"/>
      <c r="L44" s="20"/>
      <c r="M44" s="92"/>
    </row>
    <row r="45" spans="1:13" x14ac:dyDescent="0.25">
      <c r="A45" s="23"/>
      <c r="B45" s="22"/>
      <c r="C45" s="23"/>
      <c r="D45" s="20"/>
      <c r="E45" s="12" t="str">
        <f>IF(C45&gt;0,LOOKUP(C45,'Lista de Escolas'!$C$3:$C$176,'Lista de Escolas'!$E$3:$E$176),"")</f>
        <v/>
      </c>
      <c r="F45" s="12"/>
      <c r="G45" s="12"/>
      <c r="H45" s="12"/>
      <c r="I45" s="12"/>
      <c r="J45" s="3"/>
      <c r="K45" s="24"/>
      <c r="L45" s="23"/>
      <c r="M45" s="92"/>
    </row>
    <row r="46" spans="1:13" x14ac:dyDescent="0.25">
      <c r="A46" s="23"/>
      <c r="B46" s="22"/>
      <c r="C46" s="20"/>
      <c r="D46" s="20"/>
      <c r="E46" s="12" t="str">
        <f>IF(C46&gt;0,LOOKUP(C46,'Lista de Escolas'!$C$3:$C$176,'Lista de Escolas'!$E$3:$E$176),"")</f>
        <v/>
      </c>
      <c r="F46" s="12"/>
      <c r="G46" s="12"/>
      <c r="H46" s="12"/>
      <c r="I46" s="12"/>
      <c r="J46" s="3"/>
      <c r="K46" s="21"/>
      <c r="L46" s="20"/>
      <c r="M46" s="92"/>
    </row>
    <row r="47" spans="1:13" x14ac:dyDescent="0.25">
      <c r="A47" s="22"/>
      <c r="B47" s="22"/>
      <c r="C47" s="20"/>
      <c r="D47" s="20"/>
      <c r="E47" s="12" t="str">
        <f>IF(C47&gt;0,LOOKUP(C47,'Lista de Escolas'!$C$3:$C$176,'Lista de Escolas'!$E$3:$E$176),"")</f>
        <v/>
      </c>
      <c r="F47" s="12"/>
      <c r="G47" s="12"/>
      <c r="H47" s="12"/>
      <c r="I47" s="12"/>
      <c r="J47" s="3"/>
      <c r="K47" s="21"/>
      <c r="L47" s="20"/>
      <c r="M47" s="92"/>
    </row>
    <row r="48" spans="1:13" x14ac:dyDescent="0.25">
      <c r="A48" s="22"/>
      <c r="B48" s="22"/>
      <c r="C48" s="20"/>
      <c r="D48" s="20"/>
      <c r="E48" s="12" t="str">
        <f>IF(C48&gt;0,LOOKUP(C48,'Lista de Escolas'!$C$3:$C$176,'Lista de Escolas'!$E$3:$E$176),"")</f>
        <v/>
      </c>
      <c r="F48" s="12"/>
      <c r="G48" s="12"/>
      <c r="H48" s="12"/>
      <c r="I48" s="12"/>
      <c r="J48" s="3"/>
      <c r="K48" s="21"/>
      <c r="L48" s="20"/>
      <c r="M48" s="92"/>
    </row>
    <row r="49" spans="1:13" x14ac:dyDescent="0.25">
      <c r="A49" s="22"/>
      <c r="B49" s="22"/>
      <c r="C49" s="20"/>
      <c r="D49" s="20"/>
      <c r="E49" s="12" t="str">
        <f>IF(C49&gt;0,LOOKUP(C49,'Lista de Escolas'!$C$3:$C$176,'Lista de Escolas'!$E$3:$E$176),"")</f>
        <v/>
      </c>
      <c r="F49" s="12"/>
      <c r="G49" s="12"/>
      <c r="H49" s="12"/>
      <c r="I49" s="12"/>
      <c r="J49" s="3"/>
      <c r="K49" s="21"/>
      <c r="L49" s="23"/>
      <c r="M49" s="92"/>
    </row>
    <row r="50" spans="1:13" x14ac:dyDescent="0.25">
      <c r="C50" s="20"/>
      <c r="D50" s="20"/>
      <c r="E50" s="12" t="str">
        <f>IF(C50&gt;0,LOOKUP(C50,'Lista de Escolas'!$C$3:$C$176,'Lista de Escolas'!$E$3:$E$176),"")</f>
        <v/>
      </c>
      <c r="F50" s="12"/>
      <c r="G50" s="12"/>
      <c r="H50" s="12"/>
      <c r="I50" s="12"/>
      <c r="J50" s="3"/>
      <c r="K50" s="21"/>
      <c r="L50" s="20"/>
      <c r="M50" s="92"/>
    </row>
    <row r="51" spans="1:13" x14ac:dyDescent="0.25">
      <c r="E51" s="12" t="str">
        <f>IF(C51&gt;0,LOOKUP(C51,'Lista de Escolas'!$C$3:$C$176,'Lista de Escolas'!$E$3:$E$176),"")</f>
        <v/>
      </c>
      <c r="F51" s="12"/>
      <c r="G51" s="12"/>
      <c r="H51" s="12"/>
      <c r="I51" s="12"/>
      <c r="J51" s="3"/>
    </row>
    <row r="52" spans="1:13" x14ac:dyDescent="0.25">
      <c r="E52" s="12" t="str">
        <f>IF(C52&gt;0,LOOKUP(C52,'Lista de Escolas'!$C$3:$C$176,'Lista de Escolas'!$E$3:$E$176),"")</f>
        <v/>
      </c>
      <c r="F52" s="12"/>
      <c r="G52" s="12"/>
      <c r="H52" s="12"/>
      <c r="I52" s="12"/>
      <c r="J52" s="3"/>
    </row>
    <row r="53" spans="1:13" x14ac:dyDescent="0.25">
      <c r="E53" s="12" t="str">
        <f>IF(C53&gt;0,LOOKUP(C53,'Lista de Escolas'!$C$3:$C$176,'Lista de Escolas'!$E$3:$E$176),"")</f>
        <v/>
      </c>
      <c r="F53" s="12"/>
      <c r="G53" s="12"/>
      <c r="H53" s="12"/>
      <c r="I53" s="12"/>
      <c r="J53" s="3"/>
    </row>
    <row r="54" spans="1:13" x14ac:dyDescent="0.25">
      <c r="E54" s="12" t="str">
        <f>IF(C54&gt;0,LOOKUP(C54,'Lista de Escolas'!$C$3:$C$176,'Lista de Escolas'!$E$3:$E$176),"")</f>
        <v/>
      </c>
      <c r="F54" s="12"/>
      <c r="G54" s="12"/>
      <c r="H54" s="12"/>
      <c r="I54" s="12"/>
      <c r="J54" s="3"/>
    </row>
    <row r="55" spans="1:13" x14ac:dyDescent="0.25">
      <c r="E55" s="12" t="str">
        <f>IF(C55&gt;0,LOOKUP(C55,'Lista de Escolas'!$C$3:$C$176,'Lista de Escolas'!$E$3:$E$176),"")</f>
        <v/>
      </c>
      <c r="F55" s="12"/>
      <c r="G55" s="12"/>
      <c r="H55" s="12"/>
      <c r="I55" s="12"/>
      <c r="J55" s="3"/>
    </row>
    <row r="56" spans="1:13" x14ac:dyDescent="0.25">
      <c r="E56" s="12" t="str">
        <f>IF(C56&gt;0,LOOKUP(C56,'Lista de Escolas'!$C$3:$C$176,'Lista de Escolas'!$E$3:$E$176),"")</f>
        <v/>
      </c>
      <c r="F56" s="12"/>
      <c r="G56" s="12"/>
      <c r="H56" s="12"/>
      <c r="I56" s="12"/>
      <c r="J56" s="3"/>
    </row>
    <row r="57" spans="1:13" x14ac:dyDescent="0.25">
      <c r="E57" s="12" t="str">
        <f>IF(C57&gt;0,LOOKUP(C57,'Lista de Escolas'!$C$3:$C$178,'Lista de Escolas'!$E$3:$E$178),"")</f>
        <v/>
      </c>
      <c r="F57" s="12"/>
      <c r="G57" s="12"/>
      <c r="H57" s="12"/>
      <c r="I57" s="12"/>
      <c r="J57" s="3"/>
    </row>
    <row r="59" spans="1:13" x14ac:dyDescent="0.25">
      <c r="B59" s="12" t="s">
        <v>31</v>
      </c>
      <c r="E59" s="1">
        <f>COUNTIFS(E5:E49,"=Escolas Rainha Santa Isabel")</f>
        <v>0</v>
      </c>
      <c r="J59" s="1" t="s">
        <v>32</v>
      </c>
    </row>
    <row r="60" spans="1:13" x14ac:dyDescent="0.25">
      <c r="B60" s="12">
        <f>COUNT(B5:B58)</f>
        <v>0</v>
      </c>
      <c r="E60" s="1">
        <f>COUNTIFS(E5:E49,"=Escolas Dr. Correia Mateus")</f>
        <v>0</v>
      </c>
      <c r="J60" s="1" t="s">
        <v>33</v>
      </c>
    </row>
    <row r="61" spans="1:13" x14ac:dyDescent="0.25">
      <c r="E61" s="1">
        <f>COUNTIFS(E5:E49,"=Escolas da Caranguejeira - Santa Catarina da Serra")</f>
        <v>0</v>
      </c>
      <c r="J61" s="1" t="s">
        <v>67</v>
      </c>
    </row>
    <row r="62" spans="1:13" x14ac:dyDescent="0.25">
      <c r="E62" s="1">
        <f>COUNTIFS(E5:E49,"=Escolas de Colmeias")</f>
        <v>0</v>
      </c>
      <c r="J62" s="1" t="s">
        <v>35</v>
      </c>
    </row>
    <row r="63" spans="1:13" x14ac:dyDescent="0.25">
      <c r="E63" s="1">
        <f>COUNTIFS(E5:E49,"=Escolas de Marrazes")</f>
        <v>0</v>
      </c>
      <c r="J63" s="1" t="s">
        <v>36</v>
      </c>
    </row>
    <row r="64" spans="1:13" x14ac:dyDescent="0.25">
      <c r="E64" s="1">
        <f>COUNTIFS(E5:E49,"=Escolas Domingos Sequeira")</f>
        <v>0</v>
      </c>
      <c r="J64" s="1" t="s">
        <v>37</v>
      </c>
    </row>
    <row r="65" spans="5:10" x14ac:dyDescent="0.25">
      <c r="E65" s="1">
        <f>COUNTIFS(E5:E49,"=Escolas D. Dinis")</f>
        <v>0</v>
      </c>
      <c r="J65" s="1" t="s">
        <v>38</v>
      </c>
    </row>
    <row r="66" spans="5:10" x14ac:dyDescent="0.25">
      <c r="E66" s="1">
        <f>COUNTIFS(E5:E50,"=Henrique Sommer")</f>
        <v>0</v>
      </c>
      <c r="J66" s="1" t="s">
        <v>39</v>
      </c>
    </row>
    <row r="67" spans="5:10" x14ac:dyDescent="0.25">
      <c r="E67" s="1">
        <f>SUM(E59:E66)</f>
        <v>0</v>
      </c>
      <c r="J67" s="1" t="s">
        <v>69</v>
      </c>
    </row>
  </sheetData>
  <customSheetViews>
    <customSheetView guid="{7E850ADC-7020-4CE4-9656-1D37A8554340}" hiddenColumns="1">
      <selection activeCell="C6" sqref="C5:C6"/>
      <pageMargins left="0" right="0" top="0" bottom="0" header="0" footer="0"/>
      <pageSetup paperSize="9" orientation="portrait" horizontalDpi="1200" verticalDpi="1200"/>
    </customSheetView>
    <customSheetView guid="{6C6D19B4-0AAB-4D39-9585-2246A62E9472}" hiddenColumns="1">
      <selection activeCell="C6" sqref="C5:C6"/>
      <pageMargins left="0" right="0" top="0" bottom="0" header="0" footer="0"/>
      <pageSetup paperSize="9" orientation="portrait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1"/>
  <sheetViews>
    <sheetView topLeftCell="C1" zoomScale="112" zoomScaleNormal="112" workbookViewId="0">
      <selection activeCell="F5" sqref="F5"/>
    </sheetView>
  </sheetViews>
  <sheetFormatPr defaultColWidth="9.140625" defaultRowHeight="15" x14ac:dyDescent="0.25"/>
  <cols>
    <col min="1" max="1" width="12.42578125" style="17" bestFit="1" customWidth="1"/>
    <col min="2" max="2" width="11.42578125" style="17" customWidth="1"/>
    <col min="3" max="3" width="32.42578125" style="17" customWidth="1"/>
    <col min="4" max="4" width="19.42578125" style="1" hidden="1" customWidth="1"/>
    <col min="5" max="5" width="40.7109375" style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1" customWidth="1"/>
    <col min="11" max="11" width="106.42578125" style="7" bestFit="1" customWidth="1"/>
    <col min="12" max="12" width="63.42578125" style="1" bestFit="1" customWidth="1"/>
  </cols>
  <sheetData>
    <row r="1" spans="1:13" ht="21" x14ac:dyDescent="0.35">
      <c r="B1" s="239" t="s">
        <v>533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3" x14ac:dyDescent="0.25">
      <c r="A3" s="89"/>
      <c r="B3" s="240" t="s">
        <v>87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</row>
    <row r="4" spans="1:13" s="9" customFormat="1" x14ac:dyDescent="0.25">
      <c r="A4" s="88" t="s">
        <v>535</v>
      </c>
      <c r="B4" s="88" t="s">
        <v>2</v>
      </c>
      <c r="C4" s="88" t="s">
        <v>3</v>
      </c>
      <c r="D4" s="8" t="s">
        <v>4</v>
      </c>
      <c r="E4" s="8" t="s">
        <v>5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6</v>
      </c>
      <c r="L4" s="8" t="s">
        <v>7</v>
      </c>
    </row>
    <row r="5" spans="1:13" s="142" customFormat="1" ht="18" customHeight="1" x14ac:dyDescent="0.25">
      <c r="A5" s="199"/>
      <c r="B5" s="194"/>
      <c r="C5" s="198"/>
      <c r="D5" s="12"/>
      <c r="E5" s="12" t="str">
        <f>IF(C5&gt;0,LOOKUP(C5,'Lista de Escolas'!$C$3:$C$176,'Lista de Escolas'!$E$3:$E$176),"")</f>
        <v/>
      </c>
      <c r="F5" s="12"/>
      <c r="G5" s="12"/>
      <c r="H5" s="12"/>
      <c r="I5" s="12"/>
      <c r="J5" s="198"/>
      <c r="K5" s="202"/>
      <c r="L5" s="12" t="s">
        <v>64</v>
      </c>
    </row>
    <row r="6" spans="1:13" s="142" customFormat="1" ht="18" customHeight="1" x14ac:dyDescent="0.25">
      <c r="A6" s="199"/>
      <c r="B6" s="194"/>
      <c r="C6" s="198"/>
      <c r="D6" s="12"/>
      <c r="E6" s="12" t="str">
        <f>IF(C6&gt;0,LOOKUP(C6,'Lista de Escolas'!$C$3:$C$178,'Lista de Escolas'!$E$3:$E$178),"")</f>
        <v/>
      </c>
      <c r="F6" s="12"/>
      <c r="G6" s="12"/>
      <c r="H6" s="12"/>
      <c r="I6" s="12"/>
      <c r="J6" s="198"/>
      <c r="K6" s="202"/>
      <c r="L6" s="12" t="s">
        <v>64</v>
      </c>
    </row>
    <row r="7" spans="1:13" s="4" customFormat="1" ht="18" customHeight="1" x14ac:dyDescent="0.2">
      <c r="A7" s="199"/>
      <c r="B7" s="194"/>
      <c r="C7" s="198"/>
      <c r="D7" s="12"/>
      <c r="E7" s="12" t="str">
        <f>IF(C7&gt;0,LOOKUP(C7,'Lista de Escolas'!$C$3:$C$178,'Lista de Escolas'!$E$3:$E$178),"")</f>
        <v/>
      </c>
      <c r="F7" s="12"/>
      <c r="G7" s="12"/>
      <c r="H7" s="12"/>
      <c r="I7" s="12"/>
      <c r="J7" s="198"/>
      <c r="K7" s="202"/>
      <c r="L7" s="12" t="s">
        <v>64</v>
      </c>
    </row>
    <row r="8" spans="1:13" s="4" customFormat="1" ht="18" customHeight="1" x14ac:dyDescent="0.2">
      <c r="A8" s="199"/>
      <c r="B8" s="194"/>
      <c r="C8" s="198"/>
      <c r="D8" s="3"/>
      <c r="E8" s="12" t="str">
        <f>IF(C8&gt;0,LOOKUP(C8,'Lista de Escolas'!$C$3:$C$178,'Lista de Escolas'!$E$3:$E$178),"")</f>
        <v/>
      </c>
      <c r="F8" s="12"/>
      <c r="G8" s="12"/>
      <c r="H8" s="12"/>
      <c r="I8" s="12"/>
      <c r="J8" s="203"/>
      <c r="K8" s="204"/>
      <c r="L8" s="3" t="s">
        <v>64</v>
      </c>
    </row>
    <row r="9" spans="1:13" s="4" customFormat="1" ht="16.5" customHeight="1" x14ac:dyDescent="0.2">
      <c r="A9" s="199"/>
      <c r="B9" s="194"/>
      <c r="C9" s="198"/>
      <c r="D9" s="12"/>
      <c r="E9" s="12" t="str">
        <f>IF(C9&gt;0,LOOKUP(C9,'Lista de Escolas'!$C$3:$C$178,'Lista de Escolas'!$E$3:$E$178),"")</f>
        <v/>
      </c>
      <c r="F9" s="12"/>
      <c r="G9" s="12"/>
      <c r="H9" s="12"/>
      <c r="I9" s="12"/>
      <c r="J9" s="198"/>
      <c r="K9" s="204"/>
      <c r="L9" s="12"/>
    </row>
    <row r="10" spans="1:13" s="4" customFormat="1" ht="18" customHeight="1" x14ac:dyDescent="0.2">
      <c r="A10" s="199"/>
      <c r="B10" s="194"/>
      <c r="C10" s="198"/>
      <c r="D10" s="12"/>
      <c r="E10" s="12" t="str">
        <f>IF(C10&gt;0,LOOKUP(C10,'Lista de Escolas'!$C$3:$C$178,'Lista de Escolas'!$E$3:$E$178),"")</f>
        <v/>
      </c>
      <c r="F10" s="12"/>
      <c r="G10" s="12"/>
      <c r="H10" s="12"/>
      <c r="I10" s="12"/>
      <c r="J10" s="198"/>
      <c r="K10" s="204"/>
      <c r="L10" s="12"/>
    </row>
    <row r="11" spans="1:13" s="4" customFormat="1" ht="18" customHeight="1" x14ac:dyDescent="0.2">
      <c r="A11" s="199"/>
      <c r="B11" s="194"/>
      <c r="C11" s="198"/>
      <c r="D11" s="3"/>
      <c r="E11" s="12" t="str">
        <f>IF(C11&gt;0,LOOKUP(C11,'Lista de Escolas'!$C$3:$C$178,'Lista de Escolas'!$E$3:$E$178),"")</f>
        <v/>
      </c>
      <c r="F11" s="12"/>
      <c r="G11" s="12"/>
      <c r="H11" s="12"/>
      <c r="I11" s="12"/>
      <c r="J11" s="203"/>
      <c r="K11" s="204"/>
      <c r="L11" s="3"/>
    </row>
    <row r="12" spans="1:13" s="4" customFormat="1" ht="18" customHeight="1" x14ac:dyDescent="0.2">
      <c r="A12" s="199"/>
      <c r="B12" s="194"/>
      <c r="C12" s="197"/>
      <c r="D12" s="12"/>
      <c r="E12" s="12" t="str">
        <f>IF(C12&gt;0,LOOKUP(C12,'Lista de Escolas'!$C$3:$C$178,'Lista de Escolas'!$E$3:$E$178),"")</f>
        <v/>
      </c>
      <c r="F12" s="12"/>
      <c r="G12" s="12"/>
      <c r="H12" s="12"/>
      <c r="I12" s="12"/>
      <c r="J12" s="198"/>
      <c r="K12" s="204"/>
      <c r="L12" s="12"/>
    </row>
    <row r="13" spans="1:13" s="4" customFormat="1" ht="18" customHeight="1" x14ac:dyDescent="0.2">
      <c r="A13" s="199"/>
      <c r="B13" s="194"/>
      <c r="C13" s="197"/>
      <c r="D13" s="12"/>
      <c r="E13" s="12" t="str">
        <f>IF(C13&gt;0,LOOKUP(C13,'Lista de Escolas'!$C$3:$C$178,'Lista de Escolas'!$E$3:$E$178),"")</f>
        <v/>
      </c>
      <c r="F13" s="12"/>
      <c r="G13" s="12"/>
      <c r="H13" s="12"/>
      <c r="I13" s="12"/>
      <c r="J13" s="198"/>
      <c r="K13" s="204"/>
      <c r="L13" s="12"/>
    </row>
    <row r="14" spans="1:13" s="4" customFormat="1" ht="18" customHeight="1" x14ac:dyDescent="0.2">
      <c r="A14" s="199"/>
      <c r="B14" s="194"/>
      <c r="C14" s="198"/>
      <c r="D14" s="3"/>
      <c r="E14" s="12" t="str">
        <f>IF(C14&gt;0,LOOKUP(C14,'Lista de Escolas'!$C$3:$C$178,'Lista de Escolas'!$E$3:$E$178),"")</f>
        <v/>
      </c>
      <c r="F14" s="12"/>
      <c r="G14" s="12"/>
      <c r="H14" s="12"/>
      <c r="I14" s="12"/>
      <c r="J14" s="198"/>
      <c r="K14" s="204"/>
      <c r="L14" s="12"/>
    </row>
    <row r="15" spans="1:13" s="4" customFormat="1" ht="18" customHeight="1" x14ac:dyDescent="0.2">
      <c r="A15" s="199"/>
      <c r="B15" s="194"/>
      <c r="C15" s="198"/>
      <c r="D15" s="3"/>
      <c r="E15" s="12" t="str">
        <f>IF(C15&gt;0,LOOKUP(C15,'Lista de Escolas'!$C$3:$C$178,'Lista de Escolas'!$E$3:$E$178),"")</f>
        <v/>
      </c>
      <c r="F15" s="12"/>
      <c r="G15" s="12"/>
      <c r="H15" s="12"/>
      <c r="I15" s="12"/>
      <c r="J15" s="198"/>
      <c r="K15" s="204"/>
      <c r="L15" s="12"/>
    </row>
    <row r="16" spans="1:13" ht="18" customHeight="1" x14ac:dyDescent="0.25">
      <c r="A16" s="199"/>
      <c r="B16" s="194"/>
      <c r="C16" s="198"/>
      <c r="D16" s="3"/>
      <c r="E16" s="12" t="str">
        <f>IF(C16&gt;0,LOOKUP(C16,'Lista de Escolas'!$C$3:$C$178,'Lista de Escolas'!$E$3:$E$178),"")</f>
        <v/>
      </c>
      <c r="F16" s="12"/>
      <c r="G16" s="12"/>
      <c r="H16" s="12"/>
      <c r="I16" s="12"/>
      <c r="J16" s="198"/>
      <c r="K16" s="204"/>
      <c r="L16" s="3"/>
      <c r="M16" s="3"/>
    </row>
    <row r="17" spans="1:12" ht="18" customHeight="1" x14ac:dyDescent="0.25">
      <c r="A17" s="196"/>
      <c r="B17" s="194"/>
      <c r="C17" s="194"/>
      <c r="D17" s="3"/>
      <c r="E17" s="12" t="str">
        <f>IF(C17&gt;0,LOOKUP(C17,'Lista de Escolas'!$C$3:$C$178,'Lista de Escolas'!$E$3:$E$178),"")</f>
        <v/>
      </c>
      <c r="F17" s="12"/>
      <c r="G17" s="12"/>
      <c r="H17" s="12"/>
      <c r="I17" s="12"/>
      <c r="J17" s="203"/>
      <c r="K17" s="204"/>
      <c r="L17" s="3"/>
    </row>
    <row r="18" spans="1:12" s="13" customFormat="1" ht="18" customHeight="1" x14ac:dyDescent="0.2">
      <c r="A18" s="196"/>
      <c r="B18" s="194"/>
      <c r="C18" s="198"/>
      <c r="D18" s="3"/>
      <c r="E18" s="12" t="str">
        <f>IF(C18&gt;0,LOOKUP(C18,'Lista de Escolas'!$C$3:$C$178,'Lista de Escolas'!$E$3:$E$178),"")</f>
        <v/>
      </c>
      <c r="F18" s="12"/>
      <c r="G18" s="12"/>
      <c r="H18" s="12"/>
      <c r="I18" s="12"/>
      <c r="J18" s="203"/>
      <c r="K18" s="204"/>
      <c r="L18" s="12"/>
    </row>
    <row r="19" spans="1:12" ht="18" customHeight="1" x14ac:dyDescent="0.25">
      <c r="A19" s="195"/>
      <c r="B19" s="200"/>
      <c r="C19" s="195"/>
      <c r="E19" s="12" t="str">
        <f>IF(C19&gt;0,LOOKUP(C19,'Lista de Escolas'!$C$3:$C$178,'Lista de Escolas'!$E$3:$E$178),"")</f>
        <v/>
      </c>
      <c r="F19" s="12"/>
      <c r="G19" s="12"/>
      <c r="H19" s="12"/>
      <c r="I19" s="12"/>
      <c r="J19" s="205"/>
      <c r="K19" s="206"/>
      <c r="L19" s="3"/>
    </row>
    <row r="20" spans="1:12" ht="18" customHeight="1" x14ac:dyDescent="0.25">
      <c r="A20" s="196"/>
      <c r="B20" s="194"/>
      <c r="C20" s="198"/>
      <c r="D20" s="3"/>
      <c r="E20" s="12" t="str">
        <f>IF(C20&gt;0,LOOKUP(C20,'Lista de Escolas'!$C$3:$C$178,'Lista de Escolas'!$E$3:$E$178),"")</f>
        <v/>
      </c>
      <c r="F20" s="12"/>
      <c r="G20" s="12"/>
      <c r="H20" s="12"/>
      <c r="I20" s="12"/>
      <c r="J20" s="203"/>
      <c r="K20" s="204"/>
      <c r="L20" s="3"/>
    </row>
    <row r="21" spans="1:12" ht="18" customHeight="1" x14ac:dyDescent="0.25">
      <c r="A21" s="196"/>
      <c r="B21" s="194"/>
      <c r="C21" s="198"/>
      <c r="D21" s="12"/>
      <c r="E21" s="12" t="str">
        <f>IF(C21&gt;0,LOOKUP(C21,'Lista de Escolas'!$C$3:$C$178,'Lista de Escolas'!$E$3:$E$178),"")</f>
        <v/>
      </c>
      <c r="F21" s="12"/>
      <c r="G21" s="12"/>
      <c r="H21" s="12"/>
      <c r="I21" s="12"/>
      <c r="J21" s="198"/>
      <c r="K21" s="204"/>
      <c r="L21" s="12"/>
    </row>
    <row r="22" spans="1:12" ht="18" customHeight="1" x14ac:dyDescent="0.25">
      <c r="A22" s="196"/>
      <c r="B22" s="194"/>
      <c r="C22" s="198"/>
      <c r="D22" s="3"/>
      <c r="E22" s="12" t="str">
        <f>IF(C22&gt;0,LOOKUP(C22,'Lista de Escolas'!$C$3:$C$178,'Lista de Escolas'!$E$3:$E$178),"")</f>
        <v/>
      </c>
      <c r="F22" s="12"/>
      <c r="G22" s="12"/>
      <c r="H22" s="12"/>
      <c r="I22" s="12"/>
      <c r="J22" s="203"/>
      <c r="K22" s="204"/>
      <c r="L22" s="12"/>
    </row>
    <row r="23" spans="1:12" x14ac:dyDescent="0.25">
      <c r="A23" s="195"/>
      <c r="B23" s="200"/>
      <c r="C23" s="201"/>
      <c r="E23" s="12" t="str">
        <f>IF(C23&gt;0,LOOKUP(C23,'Lista de Escolas'!$C$3:$C$178,'Lista de Escolas'!$E$3:$E$178),"")</f>
        <v/>
      </c>
      <c r="F23" s="12"/>
      <c r="G23" s="12"/>
      <c r="H23" s="12"/>
      <c r="I23" s="12"/>
      <c r="J23" s="205"/>
      <c r="K23" s="206"/>
    </row>
    <row r="24" spans="1:12" ht="18" customHeight="1" x14ac:dyDescent="0.25">
      <c r="A24" s="196"/>
      <c r="B24" s="194"/>
      <c r="C24" s="198"/>
      <c r="D24" s="12"/>
      <c r="E24" s="12" t="str">
        <f>IF(C24&gt;0,LOOKUP(C24,'Lista de Escolas'!$C$3:$C$178,'Lista de Escolas'!$E$3:$E$178),"")</f>
        <v/>
      </c>
      <c r="F24" s="12"/>
      <c r="G24" s="12"/>
      <c r="H24" s="12"/>
      <c r="I24" s="12"/>
      <c r="J24" s="198"/>
      <c r="K24" s="207"/>
      <c r="L24" s="3"/>
    </row>
    <row r="25" spans="1:12" ht="18" customHeight="1" x14ac:dyDescent="0.25">
      <c r="A25" s="196"/>
      <c r="B25" s="194"/>
      <c r="C25" s="198"/>
      <c r="D25" s="3"/>
      <c r="E25" s="12" t="str">
        <f>IF(C25&gt;0,LOOKUP(C25,'Lista de Escolas'!$C$3:$C$178,'Lista de Escolas'!$E$3:$E$178),"")</f>
        <v/>
      </c>
      <c r="F25" s="12"/>
      <c r="G25" s="12"/>
      <c r="H25" s="12"/>
      <c r="I25" s="12"/>
      <c r="J25" s="203"/>
      <c r="K25" s="204"/>
      <c r="L25" s="3"/>
    </row>
    <row r="26" spans="1:12" ht="18" customHeight="1" x14ac:dyDescent="0.25">
      <c r="A26" s="196"/>
      <c r="B26" s="194"/>
      <c r="C26" s="198"/>
      <c r="D26" s="3"/>
      <c r="E26" s="12" t="str">
        <f>IF(C26&gt;0,LOOKUP(C26,'Lista de Escolas'!$C$3:$C$178,'Lista de Escolas'!$E$3:$E$178),"")</f>
        <v/>
      </c>
      <c r="F26" s="12"/>
      <c r="G26" s="12"/>
      <c r="H26" s="12"/>
      <c r="I26" s="12"/>
      <c r="J26" s="203"/>
      <c r="K26" s="204"/>
      <c r="L26" s="3" t="s">
        <v>536</v>
      </c>
    </row>
    <row r="27" spans="1:12" ht="18" customHeight="1" x14ac:dyDescent="0.25">
      <c r="A27" s="196"/>
      <c r="B27" s="194"/>
      <c r="C27" s="198"/>
      <c r="D27" s="3"/>
      <c r="E27" s="12" t="str">
        <f>IF(C27&gt;0,LOOKUP(C27,'Lista de Escolas'!$C$3:$C$178,'Lista de Escolas'!$E$3:$E$178),"")</f>
        <v/>
      </c>
      <c r="F27" s="12"/>
      <c r="G27" s="12"/>
      <c r="H27" s="12"/>
      <c r="I27" s="12"/>
      <c r="J27" s="203"/>
      <c r="K27" s="204"/>
      <c r="L27" s="3"/>
    </row>
    <row r="28" spans="1:12" ht="18" customHeight="1" x14ac:dyDescent="0.25">
      <c r="A28" s="201"/>
      <c r="B28" s="194"/>
      <c r="C28" s="198"/>
      <c r="D28" s="3"/>
      <c r="E28" s="12" t="str">
        <f>IF(C28&gt;0,LOOKUP(C28,'Lista de Escolas'!$C$3:$C$178,'Lista de Escolas'!$E$3:$E$178),"")</f>
        <v/>
      </c>
      <c r="F28" s="12"/>
      <c r="G28" s="12"/>
      <c r="H28" s="12"/>
      <c r="I28" s="12"/>
      <c r="J28" s="203"/>
      <c r="K28" s="204"/>
      <c r="L28" s="3"/>
    </row>
    <row r="29" spans="1:12" ht="25.5" x14ac:dyDescent="0.25">
      <c r="A29" s="196"/>
      <c r="B29" s="194"/>
      <c r="C29" s="198"/>
      <c r="D29" s="12"/>
      <c r="E29" s="12" t="str">
        <f>IF(C29&gt;0,LOOKUP(C29,'Lista de Escolas'!$C$3:$C$178,'Lista de Escolas'!$E$3:$E$178),"")</f>
        <v/>
      </c>
      <c r="F29" s="12"/>
      <c r="G29" s="12"/>
      <c r="H29" s="12"/>
      <c r="I29" s="12"/>
      <c r="J29" s="198"/>
      <c r="K29" s="207"/>
      <c r="L29" s="148" t="s">
        <v>537</v>
      </c>
    </row>
    <row r="30" spans="1:12" ht="18" customHeight="1" x14ac:dyDescent="0.25">
      <c r="A30" s="196"/>
      <c r="B30" s="194"/>
      <c r="C30" s="198"/>
      <c r="D30" s="12"/>
      <c r="E30" s="12" t="str">
        <f>IF(C30&gt;0,LOOKUP(C30,'Lista de Escolas'!$C$3:$C$178,'Lista de Escolas'!$E$3:$E$178),"")</f>
        <v/>
      </c>
      <c r="F30" s="12"/>
      <c r="G30" s="12"/>
      <c r="H30" s="12"/>
      <c r="I30" s="12"/>
      <c r="J30" s="198"/>
      <c r="K30" s="208"/>
      <c r="L30" s="12"/>
    </row>
    <row r="31" spans="1:12" x14ac:dyDescent="0.25">
      <c r="A31" s="196"/>
      <c r="B31" s="194"/>
      <c r="C31" s="198"/>
      <c r="D31" s="3"/>
      <c r="E31" s="12" t="str">
        <f>IF(C31&gt;0,LOOKUP(C31,'Lista de Escolas'!$C$3:$C$178,'Lista de Escolas'!$E$3:$E$178),"")</f>
        <v/>
      </c>
      <c r="F31" s="12"/>
      <c r="G31" s="12"/>
      <c r="H31" s="12"/>
      <c r="I31" s="12"/>
      <c r="J31" s="203"/>
      <c r="K31" s="209"/>
      <c r="L31" s="12" t="s">
        <v>531</v>
      </c>
    </row>
    <row r="32" spans="1:12" x14ac:dyDescent="0.25">
      <c r="A32" s="196"/>
      <c r="B32" s="194"/>
      <c r="C32" s="198"/>
      <c r="D32" s="3"/>
      <c r="E32" s="12" t="str">
        <f>IF(C32&gt;0,LOOKUP(C32,'Lista de Escolas'!$C$3:$C$178,'Lista de Escolas'!$E$3:$E$178),"")</f>
        <v/>
      </c>
      <c r="F32" s="12"/>
      <c r="G32" s="12"/>
      <c r="H32" s="12"/>
      <c r="I32" s="12"/>
      <c r="J32" s="203"/>
      <c r="K32" s="209"/>
      <c r="L32" s="3"/>
    </row>
    <row r="33" spans="1:13" x14ac:dyDescent="0.25">
      <c r="A33" s="196"/>
      <c r="B33" s="194"/>
      <c r="C33" s="198"/>
      <c r="D33" s="3"/>
      <c r="E33" s="12" t="str">
        <f>IF(C33&gt;0,LOOKUP(C33,'Lista de Escolas'!$C$3:$C$178,'Lista de Escolas'!$E$3:$E$178),"")</f>
        <v/>
      </c>
      <c r="F33" s="12"/>
      <c r="G33" s="12"/>
      <c r="H33" s="12"/>
      <c r="I33" s="12"/>
      <c r="J33" s="203"/>
      <c r="K33" s="209"/>
      <c r="L33" s="3"/>
    </row>
    <row r="34" spans="1:13" x14ac:dyDescent="0.25">
      <c r="A34" s="196"/>
      <c r="B34" s="196"/>
      <c r="C34" s="198"/>
      <c r="D34" s="12"/>
      <c r="E34" s="12" t="str">
        <f>IF(C34&gt;0,LOOKUP(C34,'Lista de Escolas'!$C$3:$C$178,'Lista de Escolas'!$E$3:$E$178),"")</f>
        <v/>
      </c>
      <c r="F34" s="12"/>
      <c r="G34" s="12"/>
      <c r="H34" s="12"/>
      <c r="I34" s="12"/>
      <c r="J34" s="203"/>
      <c r="K34" s="208"/>
      <c r="L34" s="3"/>
    </row>
    <row r="35" spans="1:13" x14ac:dyDescent="0.25">
      <c r="A35" s="196"/>
      <c r="B35" s="196"/>
      <c r="C35" s="198"/>
      <c r="D35" s="3"/>
      <c r="E35" s="12" t="str">
        <f>IF(C35&gt;0,LOOKUP(C35,'Lista de Escolas'!$C$3:$C$178,'Lista de Escolas'!$E$3:$E$178),"")</f>
        <v/>
      </c>
      <c r="F35" s="12"/>
      <c r="G35" s="12"/>
      <c r="H35" s="12"/>
      <c r="I35" s="12"/>
      <c r="J35" s="203"/>
      <c r="K35" s="209"/>
      <c r="L35" s="3"/>
    </row>
    <row r="36" spans="1:13" x14ac:dyDescent="0.25">
      <c r="A36" s="196"/>
      <c r="B36" s="196"/>
      <c r="C36" s="201"/>
      <c r="E36" s="12" t="str">
        <f>IF(C36&gt;0,LOOKUP(C36,'Lista de Escolas'!$C$3:$C$178,'Lista de Escolas'!$E$3:$E$178),"")</f>
        <v/>
      </c>
      <c r="F36" s="12"/>
      <c r="G36" s="12"/>
      <c r="H36" s="12"/>
      <c r="I36" s="12"/>
      <c r="J36" s="205"/>
      <c r="K36" s="206"/>
    </row>
    <row r="37" spans="1:13" x14ac:dyDescent="0.25">
      <c r="A37" s="196"/>
      <c r="B37" s="196"/>
      <c r="C37" s="201"/>
      <c r="D37" s="23"/>
      <c r="E37" s="12" t="str">
        <f>IF(C37&gt;0,LOOKUP(C37,'Lista de Escolas'!$C$3:$C$178,'Lista de Escolas'!$E$3:$E$178),"")</f>
        <v/>
      </c>
      <c r="F37" s="12"/>
      <c r="G37" s="12"/>
      <c r="H37" s="12"/>
      <c r="I37" s="12"/>
      <c r="J37" s="201"/>
      <c r="K37" s="210"/>
      <c r="L37" s="23"/>
      <c r="M37" s="92"/>
    </row>
    <row r="38" spans="1:13" x14ac:dyDescent="0.25">
      <c r="A38" s="201"/>
      <c r="B38" s="196"/>
      <c r="C38" s="201"/>
      <c r="D38" s="20"/>
      <c r="E38" s="12" t="str">
        <f>IF(C38&gt;0,LOOKUP(C38,'Lista de Escolas'!$C$3:$C$178,'Lista de Escolas'!$E$3:$E$178),"")</f>
        <v/>
      </c>
      <c r="F38" s="12"/>
      <c r="G38" s="12"/>
      <c r="H38" s="12"/>
      <c r="I38" s="12"/>
      <c r="J38" s="211"/>
      <c r="K38" s="212"/>
      <c r="L38" s="20"/>
      <c r="M38" s="92"/>
    </row>
    <row r="39" spans="1:13" x14ac:dyDescent="0.25">
      <c r="A39" s="196"/>
      <c r="B39" s="196"/>
      <c r="C39" s="201"/>
      <c r="D39" s="20"/>
      <c r="E39" s="12" t="str">
        <f>IF(C39&gt;0,LOOKUP(C39,'Lista de Escolas'!$C$3:$C$178,'Lista de Escolas'!$E$3:$E$178),"")</f>
        <v/>
      </c>
      <c r="F39" s="12"/>
      <c r="G39" s="12"/>
      <c r="H39" s="12"/>
      <c r="I39" s="12"/>
      <c r="J39" s="211"/>
      <c r="K39" s="212"/>
      <c r="L39" s="23"/>
      <c r="M39" s="92"/>
    </row>
    <row r="40" spans="1:13" x14ac:dyDescent="0.25">
      <c r="A40" s="196"/>
      <c r="B40" s="196"/>
      <c r="C40" s="201"/>
      <c r="D40" s="23"/>
      <c r="E40" s="12" t="str">
        <f>IF(C40&gt;0,LOOKUP(C40,'Lista de Escolas'!$C$3:$C$178,'Lista de Escolas'!$E$3:$E$178),"")</f>
        <v/>
      </c>
      <c r="F40" s="12"/>
      <c r="G40" s="12"/>
      <c r="H40" s="12"/>
      <c r="I40" s="12"/>
      <c r="J40" s="201"/>
      <c r="K40" s="210"/>
      <c r="L40" s="23"/>
      <c r="M40" s="92"/>
    </row>
    <row r="41" spans="1:13" x14ac:dyDescent="0.25">
      <c r="A41" s="201"/>
      <c r="B41" s="196"/>
      <c r="C41" s="201"/>
      <c r="D41" s="23"/>
      <c r="E41" s="12" t="str">
        <f>IF(C41&gt;0,LOOKUP(C41,'Lista de Escolas'!$C$3:$C$178,'Lista de Escolas'!$E$3:$E$178),"")</f>
        <v/>
      </c>
      <c r="F41" s="12"/>
      <c r="G41" s="12"/>
      <c r="H41" s="12"/>
      <c r="I41" s="12"/>
      <c r="J41" s="201"/>
      <c r="K41" s="210"/>
      <c r="L41" s="23"/>
      <c r="M41" s="92"/>
    </row>
    <row r="42" spans="1:13" x14ac:dyDescent="0.25">
      <c r="A42" s="196"/>
      <c r="B42" s="196"/>
      <c r="C42" s="201"/>
      <c r="D42" s="20"/>
      <c r="E42" s="12" t="str">
        <f>IF(C42&gt;0,LOOKUP(C42,'Lista de Escolas'!$C$3:$C$178,'Lista de Escolas'!$E$3:$E$178),"")</f>
        <v/>
      </c>
      <c r="F42" s="12"/>
      <c r="G42" s="12"/>
      <c r="H42" s="12"/>
      <c r="I42" s="12"/>
      <c r="J42" s="211"/>
      <c r="K42" s="212"/>
      <c r="L42" s="23"/>
      <c r="M42" s="92"/>
    </row>
    <row r="43" spans="1:13" x14ac:dyDescent="0.25">
      <c r="A43" s="196"/>
      <c r="B43" s="196"/>
      <c r="C43" s="201"/>
      <c r="D43" s="23"/>
      <c r="E43" s="12" t="str">
        <f>IF(C43&gt;0,LOOKUP(C43,'Lista de Escolas'!$C$3:$C$178,'Lista de Escolas'!$E$3:$E$178),"")</f>
        <v/>
      </c>
      <c r="F43" s="12"/>
      <c r="G43" s="12"/>
      <c r="H43" s="12"/>
      <c r="I43" s="12"/>
      <c r="J43" s="201"/>
      <c r="K43" s="210"/>
      <c r="L43" s="23"/>
      <c r="M43" s="92"/>
    </row>
    <row r="44" spans="1:13" x14ac:dyDescent="0.25">
      <c r="A44" s="196"/>
      <c r="B44" s="196"/>
      <c r="C44" s="201"/>
      <c r="D44" s="20"/>
      <c r="E44" s="12" t="str">
        <f>IF(C44&gt;0,LOOKUP(C44,'Lista de Escolas'!$C$3:$C$178,'Lista de Escolas'!$E$3:$E$178),"")</f>
        <v/>
      </c>
      <c r="F44" s="12"/>
      <c r="G44" s="12"/>
      <c r="H44" s="12"/>
      <c r="I44" s="12"/>
      <c r="J44" s="211"/>
      <c r="K44" s="212"/>
      <c r="L44" s="23"/>
      <c r="M44" s="92"/>
    </row>
    <row r="45" spans="1:13" x14ac:dyDescent="0.25">
      <c r="A45" s="196"/>
      <c r="B45" s="196"/>
      <c r="C45" s="201"/>
      <c r="D45" s="23"/>
      <c r="E45" s="12" t="str">
        <f>IF(C45&gt;0,LOOKUP(C45,'Lista de Escolas'!$C$3:$C$178,'Lista de Escolas'!$E$3:$E$178),"")</f>
        <v/>
      </c>
      <c r="F45" s="12"/>
      <c r="G45" s="12"/>
      <c r="H45" s="12"/>
      <c r="I45" s="12"/>
      <c r="J45" s="201"/>
      <c r="K45" s="210"/>
      <c r="L45" s="23"/>
      <c r="M45" s="92"/>
    </row>
    <row r="46" spans="1:13" x14ac:dyDescent="0.25">
      <c r="A46" s="201"/>
      <c r="B46" s="196"/>
      <c r="C46" s="201"/>
      <c r="D46" s="20"/>
      <c r="E46" s="12" t="str">
        <f>IF(C46&gt;0,LOOKUP(C46,'Lista de Escolas'!$C$3:$C$178,'Lista de Escolas'!$E$3:$E$178),"")</f>
        <v/>
      </c>
      <c r="F46" s="12"/>
      <c r="G46" s="12"/>
      <c r="H46" s="12"/>
      <c r="I46" s="12"/>
      <c r="J46" s="211"/>
      <c r="K46" s="212"/>
      <c r="L46" s="20"/>
      <c r="M46" s="92"/>
    </row>
    <row r="47" spans="1:13" x14ac:dyDescent="0.25">
      <c r="A47" s="196"/>
      <c r="B47" s="196"/>
      <c r="C47" s="201"/>
      <c r="D47" s="20"/>
      <c r="E47" s="12" t="str">
        <f>IF(C47&gt;0,LOOKUP(C47,'Lista de Escolas'!$C$3:$C$178,'Lista de Escolas'!$E$3:$E$178),"")</f>
        <v/>
      </c>
      <c r="F47" s="12"/>
      <c r="G47" s="12"/>
      <c r="H47" s="12"/>
      <c r="I47" s="12"/>
      <c r="J47" s="211"/>
      <c r="K47" s="212"/>
      <c r="L47" s="20"/>
      <c r="M47" s="92"/>
    </row>
    <row r="48" spans="1:13" x14ac:dyDescent="0.25">
      <c r="A48" s="196"/>
      <c r="B48" s="196"/>
      <c r="C48" s="201"/>
      <c r="D48" s="20"/>
      <c r="E48" s="12" t="str">
        <f>IF(C48&gt;0,LOOKUP(C48,'Lista de Escolas'!$C$3:$C$178,'Lista de Escolas'!$E$3:$E$178),"")</f>
        <v/>
      </c>
      <c r="F48" s="12"/>
      <c r="G48" s="12"/>
      <c r="H48" s="12"/>
      <c r="I48" s="12"/>
      <c r="J48" s="211"/>
      <c r="K48" s="212"/>
      <c r="L48" s="20"/>
      <c r="M48" s="92"/>
    </row>
    <row r="49" spans="1:13" x14ac:dyDescent="0.25">
      <c r="A49" s="201"/>
      <c r="B49" s="196"/>
      <c r="C49" s="201"/>
      <c r="D49" s="20"/>
      <c r="E49" s="12" t="str">
        <f>IF(C49&gt;0,LOOKUP(C49,'Lista de Escolas'!$C$3:$C$178,'Lista de Escolas'!$E$3:$E$178),"")</f>
        <v/>
      </c>
      <c r="F49" s="12"/>
      <c r="G49" s="12"/>
      <c r="H49" s="12"/>
      <c r="I49" s="12"/>
      <c r="J49" s="201"/>
      <c r="K49" s="210"/>
      <c r="L49" s="23"/>
      <c r="M49" s="92"/>
    </row>
    <row r="50" spans="1:13" x14ac:dyDescent="0.25">
      <c r="A50" s="201"/>
      <c r="B50" s="196"/>
      <c r="C50" s="201"/>
      <c r="D50" s="20"/>
      <c r="E50" s="12" t="str">
        <f>IF(C50&gt;0,LOOKUP(C50,'Lista de Escolas'!$C$3:$C$178,'Lista de Escolas'!$E$3:$E$178),"")</f>
        <v/>
      </c>
      <c r="F50" s="12"/>
      <c r="G50" s="12"/>
      <c r="H50" s="12"/>
      <c r="I50" s="12"/>
      <c r="J50" s="211"/>
      <c r="K50" s="212"/>
      <c r="L50" s="20"/>
      <c r="M50" s="92"/>
    </row>
    <row r="51" spans="1:13" x14ac:dyDescent="0.25">
      <c r="A51" s="196"/>
      <c r="B51" s="196"/>
      <c r="C51" s="201"/>
      <c r="D51" s="20"/>
      <c r="E51" s="12" t="str">
        <f>IF(C51&gt;0,LOOKUP(C51,'Lista de Escolas'!$C$3:$C$178,'Lista de Escolas'!$E$3:$E$178),"")</f>
        <v/>
      </c>
      <c r="F51" s="12"/>
      <c r="G51" s="12"/>
      <c r="H51" s="12"/>
      <c r="I51" s="12"/>
      <c r="J51" s="211"/>
      <c r="K51" s="212"/>
      <c r="L51" s="20"/>
      <c r="M51" s="92"/>
    </row>
    <row r="52" spans="1:13" x14ac:dyDescent="0.25">
      <c r="A52" s="196"/>
      <c r="B52" s="196"/>
      <c r="C52" s="201"/>
      <c r="D52" s="20"/>
      <c r="E52" s="12" t="str">
        <f>IF(C52&gt;0,LOOKUP(C52,'Lista de Escolas'!$C$3:$C$178,'Lista de Escolas'!$E$3:$E$178),"")</f>
        <v/>
      </c>
      <c r="F52" s="12"/>
      <c r="G52" s="12"/>
      <c r="H52" s="12"/>
      <c r="I52" s="12"/>
      <c r="J52" s="211"/>
      <c r="K52" s="212"/>
      <c r="L52" s="20"/>
      <c r="M52" s="92"/>
    </row>
    <row r="53" spans="1:13" x14ac:dyDescent="0.25">
      <c r="A53" s="196"/>
      <c r="B53" s="196"/>
      <c r="C53" s="201"/>
      <c r="D53" s="20"/>
      <c r="E53" s="12" t="str">
        <f>IF(C53&gt;0,LOOKUP(C53,'Lista de Escolas'!$C$3:$C$178,'Lista de Escolas'!$E$3:$E$178),"")</f>
        <v/>
      </c>
      <c r="F53" s="12"/>
      <c r="G53" s="12"/>
      <c r="H53" s="12"/>
      <c r="I53" s="12"/>
      <c r="J53" s="211"/>
      <c r="K53" s="212"/>
      <c r="L53" s="23"/>
      <c r="M53" s="92"/>
    </row>
    <row r="54" spans="1:13" x14ac:dyDescent="0.25">
      <c r="A54" s="195"/>
      <c r="B54" s="195"/>
      <c r="C54" s="201"/>
      <c r="D54" s="20"/>
      <c r="E54" s="12" t="str">
        <f>IF(C54&gt;0,LOOKUP(C54,'Lista de Escolas'!$C$3:$C$178,'Lista de Escolas'!$E$3:$E$178),"")</f>
        <v/>
      </c>
      <c r="F54" s="12"/>
      <c r="G54" s="12"/>
      <c r="H54" s="12"/>
      <c r="I54" s="12"/>
      <c r="J54" s="211"/>
      <c r="K54" s="212"/>
      <c r="L54" s="20"/>
      <c r="M54" s="92"/>
    </row>
    <row r="55" spans="1:13" x14ac:dyDescent="0.25">
      <c r="A55" s="195"/>
      <c r="B55" s="195"/>
      <c r="C55" s="195"/>
      <c r="E55" s="12" t="str">
        <f>IF(C55&gt;0,LOOKUP(C55,'Lista de Escolas'!$C$3:$C$178,'Lista de Escolas'!$E$3:$E$178),"")</f>
        <v/>
      </c>
      <c r="F55" s="12"/>
      <c r="G55" s="12"/>
      <c r="H55" s="12"/>
      <c r="I55" s="12"/>
      <c r="J55" s="205"/>
      <c r="K55" s="206"/>
    </row>
    <row r="56" spans="1:13" x14ac:dyDescent="0.25">
      <c r="A56" s="195"/>
      <c r="B56" s="195"/>
      <c r="C56" s="195"/>
      <c r="E56" s="12" t="str">
        <f>IF(C56&gt;0,LOOKUP(C56,'Lista de Escolas'!$C$3:$C$178,'Lista de Escolas'!$E$3:$E$178),"")</f>
        <v/>
      </c>
      <c r="F56" s="12"/>
      <c r="G56" s="12"/>
      <c r="H56" s="12"/>
      <c r="I56" s="12"/>
      <c r="J56" s="205"/>
      <c r="K56" s="206"/>
    </row>
    <row r="57" spans="1:13" x14ac:dyDescent="0.25">
      <c r="A57" s="195"/>
      <c r="B57" s="195"/>
      <c r="C57" s="195"/>
      <c r="E57" s="12" t="str">
        <f>IF(C57&gt;0,LOOKUP(C57,'Lista de Escolas'!$C$3:$C$178,'Lista de Escolas'!$E$3:$E$178),"")</f>
        <v/>
      </c>
      <c r="F57" s="12"/>
      <c r="G57" s="12"/>
      <c r="H57" s="12"/>
      <c r="I57" s="12"/>
      <c r="J57" s="205"/>
      <c r="K57" s="206"/>
    </row>
    <row r="58" spans="1:13" x14ac:dyDescent="0.25">
      <c r="A58" s="195"/>
      <c r="B58" s="195"/>
      <c r="C58" s="195"/>
      <c r="E58" s="12" t="str">
        <f>IF(C58&gt;0,LOOKUP(C58,'Lista de Escolas'!$C$3:$C$178,'Lista de Escolas'!$E$3:$E$178),"")</f>
        <v/>
      </c>
      <c r="F58" s="12"/>
      <c r="G58" s="12"/>
      <c r="H58" s="12"/>
      <c r="I58" s="12"/>
      <c r="J58" s="205"/>
      <c r="K58" s="206"/>
    </row>
    <row r="59" spans="1:13" x14ac:dyDescent="0.25">
      <c r="A59" s="195"/>
      <c r="B59" s="195"/>
      <c r="C59" s="195"/>
      <c r="E59" s="12" t="str">
        <f>IF(C59&gt;0,LOOKUP(C59,'Lista de Escolas'!$C$3:$C$178,'Lista de Escolas'!$E$3:$E$178),"")</f>
        <v/>
      </c>
      <c r="F59" s="12"/>
      <c r="G59" s="12"/>
      <c r="H59" s="12"/>
      <c r="I59" s="12"/>
      <c r="J59" s="205"/>
      <c r="K59" s="206"/>
    </row>
    <row r="60" spans="1:13" x14ac:dyDescent="0.25">
      <c r="E60" s="12" t="str">
        <f>IF(C60&gt;0,LOOKUP(C60,'Lista de Escolas'!$C$3:$C$178,'Lista de Escolas'!$E$3:$E$178),"")</f>
        <v/>
      </c>
      <c r="F60" s="12"/>
      <c r="G60" s="12"/>
      <c r="H60" s="12"/>
      <c r="I60" s="12"/>
      <c r="J60" s="205"/>
      <c r="K60" s="206"/>
    </row>
    <row r="61" spans="1:13" x14ac:dyDescent="0.25">
      <c r="E61" s="12" t="str">
        <f>IF(C61&gt;0,LOOKUP(C61,'Lista de Escolas'!$C$3:$C$178,'Lista de Escolas'!$E$3:$E$178),"")</f>
        <v/>
      </c>
      <c r="F61" s="12"/>
      <c r="G61" s="12"/>
      <c r="H61" s="12"/>
      <c r="I61" s="12"/>
    </row>
    <row r="63" spans="1:13" x14ac:dyDescent="0.25">
      <c r="B63" s="12" t="s">
        <v>31</v>
      </c>
      <c r="E63" s="1">
        <f>COUNTIFS(E5:E53,"=Escolas Rainha Santa Isabel")</f>
        <v>0</v>
      </c>
      <c r="J63" s="1" t="s">
        <v>32</v>
      </c>
    </row>
    <row r="64" spans="1:13" x14ac:dyDescent="0.25">
      <c r="B64" s="12">
        <f>COUNT(B5:B62)</f>
        <v>0</v>
      </c>
      <c r="E64" s="1">
        <f>COUNTIFS(E5:E53,"=Escolas Dr. Correia Mateus")</f>
        <v>0</v>
      </c>
      <c r="J64" s="1" t="s">
        <v>33</v>
      </c>
    </row>
    <row r="65" spans="5:10" x14ac:dyDescent="0.25">
      <c r="E65" s="1">
        <f>COUNTIFS(E5:E53,"=Escolas da Caranguejeira - Santa Catarina da Serra")</f>
        <v>0</v>
      </c>
      <c r="J65" s="1" t="s">
        <v>67</v>
      </c>
    </row>
    <row r="66" spans="5:10" x14ac:dyDescent="0.25">
      <c r="E66" s="1">
        <f>COUNTIFS(E5:E53,"=Escolas de Colmeias")</f>
        <v>0</v>
      </c>
      <c r="J66" s="1" t="s">
        <v>35</v>
      </c>
    </row>
    <row r="67" spans="5:10" x14ac:dyDescent="0.25">
      <c r="E67" s="1">
        <f>COUNTIFS(E5:E53,"=Escolas de Marrazes")</f>
        <v>0</v>
      </c>
      <c r="J67" s="1" t="s">
        <v>36</v>
      </c>
    </row>
    <row r="68" spans="5:10" x14ac:dyDescent="0.25">
      <c r="E68" s="1">
        <f>COUNTIFS(E5:E50,"=Escolas Domingos Sequeira")</f>
        <v>0</v>
      </c>
      <c r="J68" s="1" t="s">
        <v>37</v>
      </c>
    </row>
    <row r="69" spans="5:10" x14ac:dyDescent="0.25">
      <c r="E69" s="1">
        <f>COUNTIFS(E5:E53,"=Escolas D. Dinis")</f>
        <v>0</v>
      </c>
      <c r="J69" s="1" t="s">
        <v>38</v>
      </c>
    </row>
    <row r="70" spans="5:10" x14ac:dyDescent="0.25">
      <c r="E70" s="1">
        <f>COUNTIFS(E5:E54,"=Henrique Sommer")</f>
        <v>0</v>
      </c>
      <c r="J70" s="1" t="s">
        <v>90</v>
      </c>
    </row>
    <row r="71" spans="5:10" x14ac:dyDescent="0.25">
      <c r="E71" s="1">
        <f>SUM(E63:E70)</f>
        <v>0</v>
      </c>
      <c r="J71" s="1" t="s">
        <v>69</v>
      </c>
    </row>
  </sheetData>
  <sheetProtection formatCells="0" formatColumns="0" formatRows="0" insertColumns="0" insertRows="0" insertHyperlinks="0" deleteRows="0"/>
  <customSheetViews>
    <customSheetView guid="{7E850ADC-7020-4CE4-9656-1D37A8554340}" hiddenColumns="1">
      <selection activeCell="B11" sqref="B11"/>
      <pageMargins left="0" right="0" top="0" bottom="0" header="0" footer="0"/>
      <pageSetup paperSize="9" orientation="portrait" horizontalDpi="1200" verticalDpi="1200"/>
    </customSheetView>
    <customSheetView guid="{6C6D19B4-0AAB-4D39-9585-2246A62E9472}" hiddenColumns="1" topLeftCell="B1">
      <selection activeCell="H15" sqref="H15"/>
      <pageMargins left="0" right="0" top="0" bottom="0" header="0" footer="0"/>
      <pageSetup paperSize="9" orientation="portrait" horizontalDpi="1200" verticalDpi="1200"/>
    </customSheetView>
  </customSheetViews>
  <mergeCells count="2">
    <mergeCell ref="B1:L1"/>
    <mergeCell ref="B3:L3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8"/>
  <sheetViews>
    <sheetView workbookViewId="0">
      <selection activeCell="F5" sqref="F5"/>
    </sheetView>
  </sheetViews>
  <sheetFormatPr defaultColWidth="8.85546875" defaultRowHeight="15" x14ac:dyDescent="0.25"/>
  <cols>
    <col min="1" max="1" width="12.42578125" style="1" bestFit="1" customWidth="1"/>
    <col min="2" max="2" width="11.42578125" style="1" customWidth="1"/>
    <col min="3" max="3" width="32.42578125" style="1" customWidth="1"/>
    <col min="4" max="4" width="42.42578125" style="1" bestFit="1" customWidth="1"/>
    <col min="5" max="5" width="45.425781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7" customWidth="1"/>
    <col min="11" max="11" width="63.42578125" style="1" bestFit="1" customWidth="1"/>
  </cols>
  <sheetData>
    <row r="1" spans="1:11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</row>
    <row r="3" spans="1:11" ht="15" customHeight="1" x14ac:dyDescent="0.25">
      <c r="A3" s="93"/>
      <c r="B3" s="241" t="s">
        <v>91</v>
      </c>
      <c r="C3" s="241"/>
      <c r="D3" s="241"/>
      <c r="E3" s="241"/>
      <c r="F3" s="241"/>
      <c r="G3" s="241"/>
      <c r="H3" s="241"/>
      <c r="I3" s="241"/>
      <c r="J3" s="241"/>
      <c r="K3" s="241"/>
    </row>
    <row r="4" spans="1:11" s="152" customFormat="1" ht="15" customHeight="1" x14ac:dyDescent="0.25">
      <c r="A4" s="88" t="s">
        <v>1</v>
      </c>
      <c r="B4" s="88" t="s">
        <v>2</v>
      </c>
      <c r="C4" s="88" t="s">
        <v>3</v>
      </c>
      <c r="D4" s="88" t="s">
        <v>5</v>
      </c>
      <c r="E4" s="88" t="s">
        <v>4</v>
      </c>
      <c r="F4" s="88" t="s">
        <v>595</v>
      </c>
      <c r="G4" s="88" t="s">
        <v>597</v>
      </c>
      <c r="H4" s="88" t="s">
        <v>598</v>
      </c>
      <c r="I4" s="88" t="s">
        <v>596</v>
      </c>
      <c r="J4" s="88" t="s">
        <v>604</v>
      </c>
      <c r="K4" s="88" t="s">
        <v>7</v>
      </c>
    </row>
    <row r="5" spans="1:11" s="142" customFormat="1" ht="18" customHeight="1" x14ac:dyDescent="0.25">
      <c r="A5" s="11"/>
      <c r="B5" s="151"/>
      <c r="C5" s="12"/>
      <c r="D5" s="12" t="str">
        <f>IF(C5&gt;0,LOOKUP(C5,'Lista de Escolas'!$C$2:$C$178,'Lista de Escolas'!$E$2:$E$178),"")</f>
        <v/>
      </c>
      <c r="E5" s="12"/>
      <c r="F5" s="12"/>
      <c r="G5" s="12"/>
      <c r="H5" s="12"/>
      <c r="I5" s="12"/>
      <c r="J5" s="10"/>
      <c r="K5" s="12" t="s">
        <v>64</v>
      </c>
    </row>
    <row r="6" spans="1:11" s="142" customFormat="1" ht="18" customHeight="1" x14ac:dyDescent="0.25">
      <c r="A6" s="11"/>
      <c r="B6" s="151"/>
      <c r="C6" s="12"/>
      <c r="D6" s="12" t="str">
        <f>IF(C6&gt;0,LOOKUP(C6,'Lista de Escolas'!$C$2:$C$178,'Lista de Escolas'!$E$2:$E$178),"")</f>
        <v/>
      </c>
      <c r="E6" s="12"/>
      <c r="F6" s="12"/>
      <c r="G6" s="12"/>
      <c r="H6" s="12"/>
      <c r="I6" s="12"/>
      <c r="J6" s="10"/>
      <c r="K6" s="12" t="s">
        <v>64</v>
      </c>
    </row>
    <row r="7" spans="1:11" s="142" customFormat="1" ht="18" customHeight="1" x14ac:dyDescent="0.25">
      <c r="A7" s="11"/>
      <c r="B7" s="151"/>
      <c r="C7" s="12"/>
      <c r="D7" s="12" t="str">
        <f>IF(C7&gt;0,LOOKUP(C7,'Lista de Escolas'!$C$2:$C$178,'Lista de Escolas'!$E$2:$E$178),"")</f>
        <v/>
      </c>
      <c r="E7" s="12"/>
      <c r="F7" s="12"/>
      <c r="G7" s="12"/>
      <c r="H7" s="12"/>
      <c r="I7" s="12"/>
      <c r="J7" s="118"/>
      <c r="K7" s="12"/>
    </row>
    <row r="8" spans="1:11" s="142" customFormat="1" ht="18" customHeight="1" x14ac:dyDescent="0.25">
      <c r="A8" s="11"/>
      <c r="B8" s="151"/>
      <c r="C8" s="12"/>
      <c r="D8" s="12" t="str">
        <f>IF(C8&gt;0,LOOKUP(C8,'Lista de Escolas'!$C$2:$C$178,'Lista de Escolas'!$E$2:$E$178),"")</f>
        <v/>
      </c>
      <c r="E8" s="12"/>
      <c r="F8" s="12"/>
      <c r="G8" s="12"/>
      <c r="H8" s="12"/>
      <c r="I8" s="12"/>
      <c r="J8" s="10"/>
      <c r="K8" s="12"/>
    </row>
    <row r="9" spans="1:11" s="142" customFormat="1" ht="18" customHeight="1" x14ac:dyDescent="0.25">
      <c r="A9" s="11"/>
      <c r="B9" s="151"/>
      <c r="C9" s="12"/>
      <c r="D9" s="12" t="str">
        <f>IF(C9&gt;0,LOOKUP(C9,'Lista de Escolas'!$C$2:$C$178,'Lista de Escolas'!$E$2:$E$178),"")</f>
        <v/>
      </c>
      <c r="E9" s="12"/>
      <c r="F9" s="12"/>
      <c r="G9" s="12"/>
      <c r="H9" s="12"/>
      <c r="I9" s="12"/>
      <c r="J9" s="10"/>
      <c r="K9" s="12"/>
    </row>
    <row r="10" spans="1:11" s="142" customFormat="1" ht="18" customHeight="1" x14ac:dyDescent="0.25">
      <c r="A10" s="11"/>
      <c r="B10" s="151"/>
      <c r="C10" s="12"/>
      <c r="D10" s="12" t="str">
        <f>IF(C10&gt;0,LOOKUP(C10,'Lista de Escolas'!$C$2:$C$178,'Lista de Escolas'!$E$2:$E$178),"")</f>
        <v/>
      </c>
      <c r="E10" s="12"/>
      <c r="F10" s="12"/>
      <c r="G10" s="12"/>
      <c r="H10" s="12"/>
      <c r="I10" s="12"/>
      <c r="J10" s="10"/>
      <c r="K10" s="12"/>
    </row>
    <row r="11" spans="1:11" s="142" customFormat="1" ht="18" customHeight="1" x14ac:dyDescent="0.25">
      <c r="A11" s="11"/>
      <c r="B11" s="151"/>
      <c r="C11" s="12"/>
      <c r="D11" s="12" t="str">
        <f>IF(C11&gt;0,LOOKUP(C11,'Lista de Escolas'!$C$2:$C$178,'Lista de Escolas'!$E$2:$E$178),"")</f>
        <v/>
      </c>
      <c r="E11" s="12"/>
      <c r="F11" s="12"/>
      <c r="G11" s="12"/>
      <c r="H11" s="12"/>
      <c r="I11" s="12"/>
      <c r="J11" s="10"/>
      <c r="K11" s="12"/>
    </row>
    <row r="12" spans="1:11" s="142" customFormat="1" ht="18" customHeight="1" x14ac:dyDescent="0.25">
      <c r="A12" s="11"/>
      <c r="B12" s="151"/>
      <c r="C12" s="12"/>
      <c r="D12" s="12" t="str">
        <f>IF(C12&gt;0,LOOKUP(C12,'Lista de Escolas'!$C$2:$C$178,'Lista de Escolas'!$E$2:$E$178),"")</f>
        <v/>
      </c>
      <c r="E12" s="12"/>
      <c r="F12" s="12"/>
      <c r="G12" s="12"/>
      <c r="H12" s="12"/>
      <c r="I12" s="12"/>
      <c r="J12" s="10"/>
      <c r="K12" s="12"/>
    </row>
    <row r="13" spans="1:11" s="142" customFormat="1" ht="18" customHeight="1" x14ac:dyDescent="0.25">
      <c r="A13" s="11"/>
      <c r="B13" s="151"/>
      <c r="C13" s="12"/>
      <c r="D13" s="12" t="str">
        <f>IF(C13&gt;0,LOOKUP(C13,'Lista de Escolas'!$C$2:$C$178,'Lista de Escolas'!$E$2:$E$178),"")</f>
        <v/>
      </c>
      <c r="E13" s="12"/>
      <c r="F13" s="12"/>
      <c r="G13" s="12"/>
      <c r="H13" s="12"/>
      <c r="I13" s="12"/>
      <c r="J13" s="10"/>
      <c r="K13" s="12"/>
    </row>
    <row r="14" spans="1:11" s="142" customFormat="1" ht="18" customHeight="1" x14ac:dyDescent="0.25">
      <c r="A14" s="11"/>
      <c r="B14" s="151"/>
      <c r="C14" s="12"/>
      <c r="D14" s="12" t="str">
        <f>IF(C14&gt;0,LOOKUP(C14,'Lista de Escolas'!$C$2:$C$178,'Lista de Escolas'!$E$2:$E$178),"")</f>
        <v/>
      </c>
      <c r="E14" s="12"/>
      <c r="F14" s="12"/>
      <c r="G14" s="12"/>
      <c r="H14" s="12"/>
      <c r="I14" s="12"/>
      <c r="J14" s="118"/>
      <c r="K14" s="12"/>
    </row>
    <row r="15" spans="1:11" s="13" customFormat="1" ht="18" customHeight="1" x14ac:dyDescent="0.25">
      <c r="A15" s="22"/>
      <c r="B15" s="151"/>
      <c r="C15" s="12"/>
      <c r="D15" s="12" t="str">
        <f>IF(C15&gt;0,LOOKUP(C15,'Lista de Escolas'!$C$2:$C$178,'Lista de Escolas'!$E$2:$E$178),"")</f>
        <v/>
      </c>
      <c r="E15" s="12"/>
      <c r="F15" s="12"/>
      <c r="G15" s="12"/>
      <c r="H15" s="12"/>
      <c r="I15" s="12"/>
      <c r="J15" s="118"/>
      <c r="K15" s="12"/>
    </row>
    <row r="16" spans="1:11" s="13" customFormat="1" ht="18" customHeight="1" x14ac:dyDescent="0.25">
      <c r="A16" s="22"/>
      <c r="B16" s="151"/>
      <c r="C16" s="12"/>
      <c r="D16" s="12" t="str">
        <f>IF(C16&gt;0,LOOKUP(C16,'Lista de Escolas'!$C$2:$C$178,'Lista de Escolas'!$E$2:$E$178),"")</f>
        <v/>
      </c>
      <c r="E16" s="12"/>
      <c r="F16" s="12"/>
      <c r="G16" s="12"/>
      <c r="H16" s="12"/>
      <c r="I16" s="12"/>
      <c r="J16" s="10"/>
      <c r="K16" s="148"/>
    </row>
    <row r="17" spans="1:11" s="13" customFormat="1" ht="18" customHeight="1" x14ac:dyDescent="0.25">
      <c r="A17" s="22"/>
      <c r="B17" s="151"/>
      <c r="C17" s="12"/>
      <c r="D17" s="12" t="str">
        <f>IF(C17&gt;0,LOOKUP(C17,'Lista de Escolas'!$C$3:$C$178,'Lista de Escolas'!$E$3:$E$178),"")</f>
        <v/>
      </c>
      <c r="E17" s="12"/>
      <c r="F17" s="12"/>
      <c r="G17" s="12"/>
      <c r="H17" s="12"/>
      <c r="I17" s="12"/>
      <c r="J17" s="10"/>
      <c r="K17" s="12"/>
    </row>
    <row r="18" spans="1:11" s="13" customFormat="1" ht="18" customHeight="1" x14ac:dyDescent="0.25">
      <c r="A18" s="22"/>
      <c r="B18" s="151"/>
      <c r="C18" s="12"/>
      <c r="D18" s="12" t="str">
        <f>IF(C18&gt;0,LOOKUP(C18,'Lista de Escolas'!$C$3:$C$178,'Lista de Escolas'!$E$3:$E$178),"")</f>
        <v/>
      </c>
      <c r="E18" s="12"/>
      <c r="F18" s="12"/>
      <c r="G18" s="12"/>
      <c r="H18" s="12"/>
      <c r="I18" s="12"/>
      <c r="J18" s="118"/>
      <c r="K18" s="12"/>
    </row>
    <row r="19" spans="1:11" s="13" customFormat="1" ht="18" customHeight="1" x14ac:dyDescent="0.25">
      <c r="A19" s="22"/>
      <c r="B19" s="151"/>
      <c r="C19" s="12"/>
      <c r="D19" s="12" t="str">
        <f>IF(C19&gt;0,LOOKUP(C19,'Lista de Escolas'!$C$3:$C$178,'Lista de Escolas'!$E$3:$E$178),"")</f>
        <v/>
      </c>
      <c r="E19" s="12"/>
      <c r="F19" s="12"/>
      <c r="G19" s="12"/>
      <c r="H19" s="12"/>
      <c r="I19" s="12"/>
      <c r="J19" s="118"/>
      <c r="K19" s="12"/>
    </row>
    <row r="20" spans="1:11" s="13" customFormat="1" ht="18" customHeight="1" x14ac:dyDescent="0.25">
      <c r="A20" s="22"/>
      <c r="B20" s="151"/>
      <c r="C20" s="12"/>
      <c r="D20" s="12" t="str">
        <f>IF(C20&gt;0,LOOKUP(C20,'Lista de Escolas'!$C$3:$C$178,'Lista de Escolas'!$E$3:$E$178),"")</f>
        <v/>
      </c>
      <c r="E20" s="12"/>
      <c r="F20" s="12"/>
      <c r="G20" s="12"/>
      <c r="H20" s="12"/>
      <c r="I20" s="12"/>
      <c r="J20" s="118"/>
      <c r="K20" s="12"/>
    </row>
    <row r="21" spans="1:11" s="13" customFormat="1" ht="18" customHeight="1" x14ac:dyDescent="0.25">
      <c r="A21" s="22"/>
      <c r="B21" s="151"/>
      <c r="C21" s="12"/>
      <c r="D21" s="12" t="str">
        <f>IF(C21&gt;0,LOOKUP(C21,'Lista de Escolas'!$C$3:$C$178,'Lista de Escolas'!$E$3:$E$178),"")</f>
        <v/>
      </c>
      <c r="E21" s="12"/>
      <c r="F21" s="12"/>
      <c r="G21" s="12"/>
      <c r="H21" s="12"/>
      <c r="I21" s="12"/>
      <c r="J21" s="118"/>
      <c r="K21" s="12"/>
    </row>
    <row r="22" spans="1:11" s="13" customFormat="1" ht="18" customHeight="1" x14ac:dyDescent="0.25">
      <c r="A22" s="22"/>
      <c r="B22" s="151"/>
      <c r="C22" s="12"/>
      <c r="D22" s="12" t="str">
        <f>IF(C22&gt;0,LOOKUP(C22,'Lista de Escolas'!$C$3:$C$178,'Lista de Escolas'!$E$3:$E$178),"")</f>
        <v/>
      </c>
      <c r="E22" s="12"/>
      <c r="F22" s="12"/>
      <c r="G22" s="12"/>
      <c r="H22" s="12"/>
      <c r="I22" s="12"/>
      <c r="J22" s="10"/>
      <c r="K22" s="12"/>
    </row>
    <row r="23" spans="1:11" s="13" customFormat="1" ht="18" customHeight="1" x14ac:dyDescent="0.25">
      <c r="A23" s="22"/>
      <c r="B23" s="151"/>
      <c r="C23" s="12"/>
      <c r="D23" s="12" t="str">
        <f>IF(C23&gt;0,LOOKUP(C23,'Lista de Escolas'!$C$3:$C$178,'Lista de Escolas'!$E$3:$E$178),"")</f>
        <v/>
      </c>
      <c r="E23" s="12"/>
      <c r="F23" s="12"/>
      <c r="G23" s="12"/>
      <c r="H23" s="12"/>
      <c r="I23" s="12"/>
      <c r="K23" s="12"/>
    </row>
    <row r="24" spans="1:11" s="13" customFormat="1" ht="18" customHeight="1" x14ac:dyDescent="0.25">
      <c r="A24" s="22"/>
      <c r="B24" s="151"/>
      <c r="C24" s="12"/>
      <c r="D24" s="12" t="str">
        <f>IF(C24&gt;0,LOOKUP(C24,'Lista de Escolas'!$C$3:$C$178,'Lista de Escolas'!$E$3:$E$178),"")</f>
        <v/>
      </c>
      <c r="E24" s="12"/>
      <c r="F24" s="12"/>
      <c r="G24" s="12"/>
      <c r="H24" s="12"/>
      <c r="I24" s="12"/>
      <c r="J24" s="10"/>
      <c r="K24" s="12"/>
    </row>
    <row r="25" spans="1:11" s="13" customFormat="1" ht="18" customHeight="1" x14ac:dyDescent="0.25">
      <c r="A25" s="22"/>
      <c r="B25" s="151"/>
      <c r="C25" s="12"/>
      <c r="D25" s="12" t="str">
        <f>IF(C25&gt;0,LOOKUP(C25,'Lista de Escolas'!$C$3:$C$178,'Lista de Escolas'!$E$3:$E$178),"")</f>
        <v/>
      </c>
      <c r="E25" s="12"/>
      <c r="F25" s="12"/>
      <c r="G25" s="12"/>
      <c r="H25" s="12"/>
      <c r="I25" s="12"/>
      <c r="J25" s="10"/>
      <c r="K25" s="12"/>
    </row>
    <row r="26" spans="1:11" s="13" customFormat="1" ht="18" customHeight="1" x14ac:dyDescent="0.25">
      <c r="A26" s="22"/>
      <c r="B26" s="151"/>
      <c r="C26" s="12"/>
      <c r="D26" s="12" t="str">
        <f>IF(C26&gt;0,LOOKUP(C26,'Lista de Escolas'!$C$3:$C$178,'Lista de Escolas'!$E$3:$E$178),"")</f>
        <v/>
      </c>
      <c r="E26" s="12"/>
      <c r="F26" s="12"/>
      <c r="G26" s="12"/>
      <c r="H26" s="12"/>
      <c r="I26" s="12"/>
      <c r="J26" s="118"/>
      <c r="K26" s="12"/>
    </row>
    <row r="27" spans="1:11" s="13" customFormat="1" ht="15" customHeight="1" x14ac:dyDescent="0.25">
      <c r="A27" s="22"/>
      <c r="B27" s="151"/>
      <c r="C27" s="12"/>
      <c r="D27" s="12" t="str">
        <f>IF(C27&gt;0,LOOKUP(C27,'Lista de Escolas'!$C$3:$C$178,'Lista de Escolas'!$E$3:$E$178),"")</f>
        <v/>
      </c>
      <c r="E27" s="12"/>
      <c r="F27" s="12"/>
      <c r="G27" s="12"/>
      <c r="H27" s="12"/>
      <c r="I27" s="12"/>
      <c r="J27" s="118"/>
      <c r="K27" s="12"/>
    </row>
    <row r="28" spans="1:11" s="13" customFormat="1" x14ac:dyDescent="0.25">
      <c r="A28" s="22"/>
      <c r="B28" s="151"/>
      <c r="C28" s="12"/>
      <c r="D28" s="12" t="str">
        <f>IF(C28&gt;0,LOOKUP(C28,'Lista de Escolas'!$C$3:$C$178,'Lista de Escolas'!$E$3:$E$178),"")</f>
        <v/>
      </c>
      <c r="E28" s="12"/>
      <c r="F28" s="12"/>
      <c r="G28" s="12"/>
      <c r="H28" s="12"/>
      <c r="I28" s="12"/>
      <c r="J28" s="10"/>
      <c r="K28" s="12"/>
    </row>
    <row r="29" spans="1:11" s="13" customFormat="1" x14ac:dyDescent="0.25">
      <c r="A29" s="94"/>
      <c r="B29" s="151"/>
      <c r="C29" s="12"/>
      <c r="D29" s="12" t="str">
        <f>IF(C29&gt;0,LOOKUP(C29,'Lista de Escolas'!$C$3:$C$178,'Lista de Escolas'!$E$3:$E$178),"")</f>
        <v/>
      </c>
      <c r="E29" s="12"/>
      <c r="F29" s="12"/>
      <c r="G29" s="12"/>
      <c r="H29" s="12"/>
      <c r="I29" s="12"/>
      <c r="J29" s="118"/>
      <c r="K29" s="12"/>
    </row>
    <row r="30" spans="1:11" s="13" customFormat="1" x14ac:dyDescent="0.25">
      <c r="A30" s="17"/>
      <c r="B30" s="151"/>
      <c r="C30" s="12"/>
      <c r="D30" s="12" t="str">
        <f>IF(C30&gt;0,LOOKUP(C30,'Lista de Escolas'!$C$3:$C$178,'Lista de Escolas'!$E$3:$E$178),"")</f>
        <v/>
      </c>
      <c r="E30" s="12"/>
      <c r="F30" s="12"/>
      <c r="G30" s="12"/>
      <c r="H30" s="12"/>
      <c r="I30" s="12"/>
      <c r="J30" s="118"/>
      <c r="K30" s="12"/>
    </row>
    <row r="31" spans="1:11" s="13" customFormat="1" x14ac:dyDescent="0.25">
      <c r="A31" s="17"/>
      <c r="B31" s="151"/>
      <c r="C31" s="12"/>
      <c r="D31" s="12" t="str">
        <f>IF(C31&gt;0,LOOKUP(C31,'Lista de Escolas'!$C$3:$C$178,'Lista de Escolas'!$E$3:$E$178),"")</f>
        <v/>
      </c>
      <c r="E31" s="12"/>
      <c r="F31" s="12"/>
      <c r="G31" s="12"/>
      <c r="H31" s="12"/>
      <c r="I31" s="12"/>
      <c r="J31" s="118"/>
      <c r="K31" s="12"/>
    </row>
    <row r="32" spans="1:11" s="13" customFormat="1" x14ac:dyDescent="0.25">
      <c r="A32" s="17"/>
      <c r="B32" s="151"/>
      <c r="C32" s="12"/>
      <c r="D32" s="12" t="str">
        <f>IF(C32&gt;0,LOOKUP(C32,'Lista de Escolas'!$C$3:$C$178,'Lista de Escolas'!$E$3:$E$178),"")</f>
        <v/>
      </c>
      <c r="E32" s="17"/>
      <c r="F32" s="17"/>
      <c r="G32" s="17"/>
      <c r="H32" s="17"/>
      <c r="I32" s="17"/>
      <c r="J32" s="118"/>
      <c r="K32" s="12"/>
    </row>
    <row r="33" spans="1:11" s="13" customFormat="1" x14ac:dyDescent="0.25">
      <c r="A33" s="17"/>
      <c r="B33" s="151"/>
      <c r="C33" s="12"/>
      <c r="D33" s="12" t="str">
        <f>IF(C33&gt;0,LOOKUP(C33,'Lista de Escolas'!$C$3:$C$178,'Lista de Escolas'!$E$3:$E$178),"")</f>
        <v/>
      </c>
      <c r="E33" s="17"/>
      <c r="F33" s="17"/>
      <c r="G33" s="17"/>
      <c r="H33" s="17"/>
      <c r="I33" s="17"/>
      <c r="J33" s="118"/>
      <c r="K33" s="12"/>
    </row>
    <row r="34" spans="1:11" s="13" customFormat="1" x14ac:dyDescent="0.25">
      <c r="B34" s="151"/>
      <c r="C34" s="12"/>
      <c r="D34" s="12" t="str">
        <f>IF(C34&gt;0,LOOKUP(C34,'Lista de Escolas'!$C$3:$C$178,'Lista de Escolas'!$E$3:$E$178),"")</f>
        <v/>
      </c>
      <c r="E34" s="17"/>
      <c r="F34" s="17"/>
      <c r="G34" s="17"/>
      <c r="H34" s="17"/>
      <c r="I34" s="17"/>
      <c r="J34" s="118"/>
      <c r="K34" s="12"/>
    </row>
    <row r="35" spans="1:11" s="13" customFormat="1" x14ac:dyDescent="0.25">
      <c r="B35" s="151"/>
      <c r="C35" s="17"/>
      <c r="D35" s="12" t="str">
        <f>IF(C35&gt;0,LOOKUP(C35,'Lista de Escolas'!$C$3:$C$178,'Lista de Escolas'!$E$3:$E$178),"")</f>
        <v/>
      </c>
      <c r="E35" s="17"/>
      <c r="F35" s="17"/>
      <c r="G35" s="17"/>
      <c r="H35" s="17"/>
      <c r="I35" s="17"/>
      <c r="J35" s="109"/>
      <c r="K35" s="17"/>
    </row>
    <row r="36" spans="1:11" s="13" customFormat="1" x14ac:dyDescent="0.25">
      <c r="B36" s="151"/>
      <c r="C36" s="17"/>
      <c r="D36" s="12" t="str">
        <f>IF(C36&gt;0,LOOKUP(C36,'Lista de Escolas'!$C$3:$C$178,'Lista de Escolas'!$E$3:$E$178),"")</f>
        <v/>
      </c>
      <c r="E36" s="17"/>
      <c r="F36" s="17"/>
      <c r="G36" s="17"/>
      <c r="H36" s="17"/>
      <c r="I36" s="17"/>
      <c r="J36" s="109"/>
      <c r="K36" s="17"/>
    </row>
    <row r="37" spans="1:11" s="13" customFormat="1" x14ac:dyDescent="0.25">
      <c r="B37" s="151"/>
      <c r="C37" s="17"/>
      <c r="D37" s="12" t="str">
        <f>IF(C37&gt;0,LOOKUP(C37,'Lista de Escolas'!$C$3:$C$178,'Lista de Escolas'!$E$3:$E$178),"")</f>
        <v/>
      </c>
      <c r="E37" s="17"/>
      <c r="F37" s="17"/>
      <c r="G37" s="17"/>
      <c r="H37" s="17"/>
      <c r="I37" s="17"/>
      <c r="J37" s="109"/>
      <c r="K37" s="17"/>
    </row>
    <row r="38" spans="1:11" s="13" customFormat="1" x14ac:dyDescent="0.25">
      <c r="B38" s="151"/>
      <c r="C38" s="17"/>
      <c r="D38" s="12" t="str">
        <f>IF(C38&gt;0,LOOKUP(C38,'Lista de Escolas'!$C$3:$C$178,'Lista de Escolas'!$E$3:$E$178),"")</f>
        <v/>
      </c>
      <c r="E38" s="17"/>
      <c r="F38" s="17"/>
      <c r="G38" s="17"/>
      <c r="H38" s="17"/>
      <c r="I38" s="17"/>
      <c r="J38" s="109"/>
      <c r="K38" s="17"/>
    </row>
    <row r="39" spans="1:11" s="13" customFormat="1" x14ac:dyDescent="0.25">
      <c r="B39" s="151"/>
      <c r="C39" s="17"/>
      <c r="D39" s="12" t="str">
        <f>IF(C39&gt;0,LOOKUP(C39,'Lista de Escolas'!$C$3:$C$178,'Lista de Escolas'!$E$3:$E$178),"")</f>
        <v/>
      </c>
      <c r="E39" s="17"/>
      <c r="F39" s="17"/>
      <c r="G39" s="17"/>
      <c r="H39" s="17"/>
      <c r="I39" s="17"/>
      <c r="J39" s="109"/>
      <c r="K39" s="17"/>
    </row>
    <row r="40" spans="1:11" s="13" customFormat="1" x14ac:dyDescent="0.25">
      <c r="B40" s="151"/>
      <c r="C40" s="17"/>
      <c r="D40" s="12" t="str">
        <f>IF(C40&gt;0,LOOKUP(C40,'Lista de Escolas'!$C$3:$C$178,'Lista de Escolas'!$E$3:$E$178),"")</f>
        <v/>
      </c>
      <c r="E40" s="17"/>
      <c r="F40" s="17"/>
      <c r="G40" s="17"/>
      <c r="H40" s="17"/>
      <c r="I40" s="17"/>
      <c r="J40" s="109"/>
      <c r="K40" s="17"/>
    </row>
    <row r="41" spans="1:11" s="13" customFormat="1" x14ac:dyDescent="0.25">
      <c r="B41" s="151"/>
      <c r="C41" s="17"/>
      <c r="D41" s="12" t="str">
        <f>IF(C41&gt;0,LOOKUP(C41,'Lista de Escolas'!$C$3:$C$178,'Lista de Escolas'!$E$3:$E$178),"")</f>
        <v/>
      </c>
      <c r="E41" s="17"/>
      <c r="F41" s="17"/>
      <c r="G41" s="17"/>
      <c r="H41" s="17"/>
      <c r="I41" s="17"/>
      <c r="J41" s="109"/>
      <c r="K41" s="17"/>
    </row>
    <row r="42" spans="1:11" s="13" customFormat="1" x14ac:dyDescent="0.25">
      <c r="B42" s="151"/>
      <c r="C42" s="17"/>
      <c r="D42" s="12" t="str">
        <f>IF(C42&gt;0,LOOKUP(C42,'Lista de Escolas'!$C$3:$C$178,'Lista de Escolas'!$E$3:$E$178),"")</f>
        <v/>
      </c>
      <c r="E42" s="17"/>
      <c r="F42" s="17"/>
      <c r="G42" s="17"/>
      <c r="H42" s="17"/>
      <c r="I42" s="17"/>
      <c r="J42" s="109"/>
      <c r="K42" s="17"/>
    </row>
    <row r="43" spans="1:11" s="13" customFormat="1" x14ac:dyDescent="0.25">
      <c r="B43" s="151"/>
      <c r="C43" s="17"/>
      <c r="D43" s="12" t="str">
        <f>IF(C43&gt;0,LOOKUP(C43,'Lista de Escolas'!$C$3:$C$178,'Lista de Escolas'!$E$3:$E$178),"")</f>
        <v/>
      </c>
      <c r="E43" s="17"/>
      <c r="F43" s="17"/>
      <c r="G43" s="17"/>
      <c r="H43" s="17"/>
      <c r="I43" s="17"/>
      <c r="J43" s="109"/>
      <c r="K43" s="17"/>
    </row>
    <row r="44" spans="1:11" s="13" customFormat="1" x14ac:dyDescent="0.25">
      <c r="B44" s="151"/>
      <c r="C44" s="17"/>
      <c r="D44" s="12" t="str">
        <f>IF(C44&gt;0,LOOKUP(C44,'Lista de Escolas'!$C$3:$C$178,'Lista de Escolas'!$E$3:$E$178),"")</f>
        <v/>
      </c>
      <c r="E44" s="17"/>
      <c r="F44" s="17"/>
      <c r="G44" s="17"/>
      <c r="H44" s="17"/>
      <c r="I44" s="17"/>
      <c r="J44" s="109"/>
      <c r="K44" s="17"/>
    </row>
    <row r="45" spans="1:11" s="13" customFormat="1" x14ac:dyDescent="0.25">
      <c r="B45" s="151"/>
      <c r="C45" s="17"/>
      <c r="D45" s="12" t="str">
        <f>IF(C45&gt;0,LOOKUP(C45,'Lista de Escolas'!$C$3:$C$178,'Lista de Escolas'!$E$3:$E$178),"")</f>
        <v/>
      </c>
      <c r="E45" s="17"/>
      <c r="F45" s="17"/>
      <c r="G45" s="17"/>
      <c r="H45" s="17"/>
      <c r="I45" s="17"/>
      <c r="J45" s="109"/>
      <c r="K45" s="17"/>
    </row>
    <row r="46" spans="1:11" s="13" customFormat="1" x14ac:dyDescent="0.25">
      <c r="B46" s="151"/>
      <c r="C46" s="17"/>
      <c r="D46" s="12" t="str">
        <f>IF(C46&gt;0,LOOKUP(C46,'Lista de Escolas'!$C$3:$C$178,'Lista de Escolas'!$E$3:$E$178),"")</f>
        <v/>
      </c>
      <c r="E46" s="17"/>
      <c r="F46" s="17"/>
      <c r="G46" s="17"/>
      <c r="H46" s="17"/>
      <c r="I46" s="17"/>
      <c r="J46" s="109"/>
      <c r="K46" s="17"/>
    </row>
    <row r="47" spans="1:11" s="13" customFormat="1" x14ac:dyDescent="0.25">
      <c r="B47" s="151"/>
      <c r="C47" s="17"/>
      <c r="D47" s="12" t="str">
        <f>IF(C47&gt;0,LOOKUP(C47,'Lista de Escolas'!$C$3:$C$178,'Lista de Escolas'!$E$3:$E$178),"")</f>
        <v/>
      </c>
      <c r="E47" s="17"/>
      <c r="F47" s="17"/>
      <c r="G47" s="17"/>
      <c r="H47" s="17"/>
      <c r="I47" s="17"/>
      <c r="J47" s="109"/>
      <c r="K47" s="17"/>
    </row>
    <row r="48" spans="1:11" s="13" customFormat="1" x14ac:dyDescent="0.25">
      <c r="B48" s="151"/>
      <c r="C48" s="17"/>
      <c r="D48" s="12" t="str">
        <f>IF(C48&gt;0,LOOKUP(C48,'Lista de Escolas'!$C$3:$C$178,'Lista de Escolas'!$E$3:$E$178),"")</f>
        <v/>
      </c>
      <c r="E48" s="17"/>
      <c r="F48" s="17"/>
      <c r="G48" s="17"/>
      <c r="H48" s="17"/>
      <c r="I48" s="17"/>
      <c r="J48" s="109"/>
      <c r="K48" s="17"/>
    </row>
    <row r="49" spans="1:11" s="13" customFormat="1" x14ac:dyDescent="0.25">
      <c r="B49" s="151"/>
      <c r="C49" s="17"/>
      <c r="D49" s="12" t="str">
        <f>IF(C49&gt;0,LOOKUP(C49,'Lista de Escolas'!$C$3:$C$178,'Lista de Escolas'!$E$3:$E$178),"")</f>
        <v/>
      </c>
      <c r="E49" s="17"/>
      <c r="F49" s="17"/>
      <c r="G49" s="17"/>
      <c r="H49" s="17"/>
      <c r="I49" s="17"/>
      <c r="J49" s="109"/>
      <c r="K49" s="17"/>
    </row>
    <row r="50" spans="1:11" s="13" customFormat="1" x14ac:dyDescent="0.25">
      <c r="B50" s="151"/>
      <c r="D50" s="12" t="str">
        <f>IF(C50&gt;0,LOOKUP(C50,'Lista de Escolas'!$C$3:$C$178,'Lista de Escolas'!$E$3:$E$178),"")</f>
        <v/>
      </c>
    </row>
    <row r="51" spans="1:11" s="13" customFormat="1" x14ac:dyDescent="0.25">
      <c r="B51" s="151"/>
      <c r="D51" s="12" t="str">
        <f>IF(C51&gt;0,LOOKUP(C51,'Lista de Escolas'!$C$3:$C$178,'Lista de Escolas'!$E$3:$E$178),"")</f>
        <v/>
      </c>
    </row>
    <row r="52" spans="1:11" s="13" customFormat="1" x14ac:dyDescent="0.25">
      <c r="A52" s="17"/>
      <c r="B52" s="151"/>
      <c r="C52" s="17"/>
      <c r="D52" s="12" t="str">
        <f>IF(C52&gt;0,LOOKUP(C52,'Lista de Escolas'!$C$3:$C$178,'Lista de Escolas'!$E$3:$E$178),"")</f>
        <v/>
      </c>
      <c r="E52" s="17"/>
      <c r="F52" s="17"/>
      <c r="G52" s="17"/>
      <c r="H52" s="17"/>
      <c r="I52" s="17"/>
      <c r="J52" s="109"/>
      <c r="K52" s="17"/>
    </row>
    <row r="53" spans="1:11" s="13" customFormat="1" x14ac:dyDescent="0.25">
      <c r="A53" s="17"/>
      <c r="B53" s="151"/>
      <c r="C53" s="17"/>
      <c r="D53" s="12" t="str">
        <f>IF(C53&gt;0,LOOKUP(C53,'Lista de Escolas'!$C$3:$C$178,'Lista de Escolas'!$E$3:$E$178),"")</f>
        <v/>
      </c>
      <c r="E53" s="17"/>
      <c r="F53" s="17"/>
      <c r="G53" s="17"/>
      <c r="H53" s="17"/>
      <c r="I53" s="17"/>
      <c r="J53" s="109"/>
      <c r="K53" s="17"/>
    </row>
    <row r="54" spans="1:11" s="13" customFormat="1" x14ac:dyDescent="0.25">
      <c r="A54" s="17"/>
      <c r="B54" s="151"/>
      <c r="C54" s="17"/>
      <c r="D54" s="12" t="str">
        <f>IF(C54&gt;0,LOOKUP(C54,'Lista de Escolas'!$C$3:$C$178,'Lista de Escolas'!$E$3:$E$178),"")</f>
        <v/>
      </c>
      <c r="E54" s="17"/>
      <c r="F54" s="17"/>
      <c r="G54" s="17"/>
      <c r="H54" s="17"/>
      <c r="I54" s="17"/>
      <c r="J54" s="109"/>
      <c r="K54" s="17"/>
    </row>
    <row r="55" spans="1:11" s="13" customFormat="1" x14ac:dyDescent="0.25">
      <c r="A55" s="17"/>
      <c r="B55" s="151"/>
      <c r="C55" s="17"/>
      <c r="D55" s="12" t="str">
        <f>IF(C55&gt;0,LOOKUP(C55,'Lista de Escolas'!$C$3:$C$178,'Lista de Escolas'!$E$3:$E$178),"")</f>
        <v/>
      </c>
      <c r="E55" s="17"/>
      <c r="F55" s="17"/>
      <c r="G55" s="17"/>
      <c r="H55" s="17"/>
      <c r="I55" s="17"/>
      <c r="J55" s="109"/>
      <c r="K55" s="17"/>
    </row>
    <row r="56" spans="1:11" s="13" customFormat="1" x14ac:dyDescent="0.25">
      <c r="A56" s="17"/>
      <c r="B56" s="151"/>
      <c r="C56" s="17"/>
      <c r="D56" s="12" t="str">
        <f>IF(C56&gt;0,LOOKUP(C56,'Lista de Escolas'!$C$3:$C$178,'Lista de Escolas'!$E$3:$E$178),"")</f>
        <v/>
      </c>
      <c r="E56" s="17"/>
      <c r="F56" s="17"/>
      <c r="G56" s="17"/>
      <c r="H56" s="17"/>
      <c r="I56" s="17"/>
      <c r="J56" s="109"/>
      <c r="K56" s="17"/>
    </row>
    <row r="57" spans="1:11" s="13" customFormat="1" x14ac:dyDescent="0.25">
      <c r="A57" s="17"/>
      <c r="B57" s="151"/>
      <c r="C57" s="17"/>
      <c r="D57" s="12" t="str">
        <f>IF(C57&gt;0,LOOKUP(C57,'Lista de Escolas'!$C$3:$C$178,'Lista de Escolas'!$E$3:$E$178),"")</f>
        <v/>
      </c>
      <c r="E57" s="17"/>
      <c r="F57" s="17"/>
      <c r="G57" s="17"/>
      <c r="H57" s="17"/>
      <c r="I57" s="17"/>
      <c r="J57" s="109"/>
      <c r="K57" s="17"/>
    </row>
    <row r="58" spans="1:11" s="13" customFormat="1" x14ac:dyDescent="0.25">
      <c r="A58" s="17"/>
      <c r="B58" s="151"/>
      <c r="C58" s="17"/>
      <c r="D58" s="12" t="str">
        <f>IF(C58&gt;0,LOOKUP(C58,'Lista de Escolas'!$C$3:$C$178,'Lista de Escolas'!$E$3:$E$178),"")</f>
        <v/>
      </c>
      <c r="E58" s="17"/>
      <c r="F58" s="17"/>
      <c r="G58" s="17"/>
      <c r="H58" s="17"/>
      <c r="I58" s="17"/>
      <c r="J58" s="109"/>
      <c r="K58" s="17"/>
    </row>
    <row r="59" spans="1:11" s="13" customFormat="1" x14ac:dyDescent="0.25">
      <c r="A59" s="17"/>
      <c r="B59" s="151"/>
      <c r="C59" s="17"/>
      <c r="D59" s="12" t="str">
        <f>IF(C59&gt;0,LOOKUP(C59,'Lista de Escolas'!$C$3:$C$178,'Lista de Escolas'!$E$3:$E$178),"")</f>
        <v/>
      </c>
      <c r="E59" s="17"/>
      <c r="F59" s="17"/>
      <c r="G59" s="17"/>
      <c r="H59" s="17"/>
      <c r="I59" s="17"/>
      <c r="J59" s="109"/>
      <c r="K59" s="17"/>
    </row>
    <row r="60" spans="1:11" s="13" customFormat="1" x14ac:dyDescent="0.25">
      <c r="A60" s="17"/>
      <c r="B60" s="151"/>
      <c r="C60" s="17"/>
      <c r="D60" s="12" t="str">
        <f>IF(C60&gt;0,LOOKUP(C60,'Lista de Escolas'!$C$3:$C$178,'Lista de Escolas'!$E$3:$E$178),"")</f>
        <v/>
      </c>
      <c r="E60" s="17"/>
      <c r="F60" s="17"/>
      <c r="G60" s="17"/>
      <c r="H60" s="17"/>
      <c r="I60" s="17"/>
      <c r="J60" s="109"/>
      <c r="K60" s="17"/>
    </row>
    <row r="61" spans="1:11" s="13" customFormat="1" x14ac:dyDescent="0.25">
      <c r="A61" s="17"/>
      <c r="B61" s="151"/>
      <c r="C61" s="17"/>
      <c r="D61" s="12" t="str">
        <f>IF(C61&gt;0,LOOKUP(C61,'Lista de Escolas'!$C$3:$C$178,'Lista de Escolas'!$E$3:$E$178),"")</f>
        <v/>
      </c>
      <c r="E61" s="17"/>
      <c r="F61" s="17"/>
      <c r="G61" s="17"/>
      <c r="H61" s="17"/>
      <c r="I61" s="17"/>
      <c r="J61" s="109"/>
      <c r="K61" s="17"/>
    </row>
    <row r="62" spans="1:11" s="13" customFormat="1" x14ac:dyDescent="0.25">
      <c r="A62" s="17"/>
      <c r="B62" s="151"/>
      <c r="C62" s="17"/>
      <c r="D62" s="12" t="str">
        <f>IF(C62&gt;0,LOOKUP(C62,'Lista de Escolas'!$C$3:$C$178,'Lista de Escolas'!$E$3:$E$178),"")</f>
        <v/>
      </c>
      <c r="E62" s="17"/>
      <c r="F62" s="17"/>
      <c r="G62" s="17"/>
      <c r="H62" s="17"/>
      <c r="I62" s="17"/>
      <c r="J62" s="109"/>
      <c r="K62" s="17"/>
    </row>
    <row r="63" spans="1:11" s="13" customFormat="1" x14ac:dyDescent="0.25">
      <c r="A63" s="17"/>
      <c r="B63" s="151"/>
      <c r="C63" s="17"/>
      <c r="D63" s="12" t="str">
        <f>IF(C63&gt;0,LOOKUP(C63,'Lista de Escolas'!$C$3:$C$178,'Lista de Escolas'!$E$3:$E$178),"")</f>
        <v/>
      </c>
      <c r="E63" s="17"/>
      <c r="F63" s="17"/>
      <c r="G63" s="17"/>
      <c r="H63" s="17"/>
      <c r="I63" s="17"/>
      <c r="J63" s="109"/>
      <c r="K63" s="17"/>
    </row>
    <row r="64" spans="1:11" s="13" customFormat="1" x14ac:dyDescent="0.25">
      <c r="A64" s="17"/>
      <c r="B64" s="151"/>
      <c r="C64" s="17"/>
      <c r="D64" s="12" t="str">
        <f>IF(C64&gt;0,LOOKUP(C64,'Lista de Escolas'!$C$3:$C$178,'Lista de Escolas'!$E$3:$E$178),"")</f>
        <v/>
      </c>
      <c r="E64" s="17"/>
      <c r="F64" s="17"/>
      <c r="G64" s="17"/>
      <c r="H64" s="17"/>
      <c r="I64" s="17"/>
      <c r="J64" s="109"/>
      <c r="K64" s="17"/>
    </row>
    <row r="65" spans="1:11" s="13" customFormat="1" x14ac:dyDescent="0.25">
      <c r="A65" s="17"/>
      <c r="B65" s="151"/>
      <c r="C65" s="17"/>
      <c r="D65" s="12" t="str">
        <f>IF(C65&gt;0,LOOKUP(C65,'Lista de Escolas'!$C$3:$C$178,'Lista de Escolas'!$E$3:$E$178),"")</f>
        <v/>
      </c>
      <c r="E65" s="17"/>
      <c r="F65" s="17"/>
      <c r="G65" s="17"/>
      <c r="H65" s="17"/>
      <c r="I65" s="17"/>
      <c r="J65" s="109"/>
      <c r="K65" s="17"/>
    </row>
    <row r="66" spans="1:11" s="13" customFormat="1" x14ac:dyDescent="0.25">
      <c r="A66" s="17"/>
      <c r="B66" s="151"/>
      <c r="C66" s="17"/>
      <c r="D66" s="12" t="str">
        <f>IF(C66&gt;0,LOOKUP(C66,'Lista de Escolas'!$C$3:$C$178,'Lista de Escolas'!$E$3:$E$178),"")</f>
        <v/>
      </c>
      <c r="E66" s="17"/>
      <c r="F66" s="17"/>
      <c r="G66" s="17"/>
      <c r="H66" s="17"/>
      <c r="I66" s="17"/>
      <c r="J66" s="109"/>
      <c r="K66" s="17"/>
    </row>
    <row r="67" spans="1:11" s="13" customFormat="1" x14ac:dyDescent="0.25">
      <c r="A67" s="17"/>
      <c r="B67" s="17"/>
      <c r="C67" s="17"/>
      <c r="D67" s="12" t="str">
        <f>IF(C67&gt;0,LOOKUP(C67,'Lista de Escolas'!$C$3:$C$178,'Lista de Escolas'!$E$3:$E$178),"")</f>
        <v/>
      </c>
      <c r="E67" s="17"/>
      <c r="F67" s="17"/>
      <c r="G67" s="17"/>
      <c r="H67" s="17"/>
      <c r="I67" s="17"/>
      <c r="J67" s="109"/>
      <c r="K67" s="17"/>
    </row>
    <row r="69" spans="1:11" x14ac:dyDescent="0.25">
      <c r="A69"/>
      <c r="B69" s="12" t="s">
        <v>31</v>
      </c>
      <c r="D69" s="1">
        <f>COUNTIFS(D5:D59,"=Escolas Rainha Santa Isabel")</f>
        <v>0</v>
      </c>
      <c r="E69" s="1" t="s">
        <v>32</v>
      </c>
      <c r="K69"/>
    </row>
    <row r="70" spans="1:11" x14ac:dyDescent="0.25">
      <c r="B70" s="12">
        <f>COUNT(B5:B68)</f>
        <v>0</v>
      </c>
      <c r="D70" s="1">
        <f>COUNTIFS(D5:D59,"=Escolas Dr. Correia Mateus")</f>
        <v>0</v>
      </c>
      <c r="E70" s="1" t="s">
        <v>33</v>
      </c>
    </row>
    <row r="71" spans="1:11" x14ac:dyDescent="0.25">
      <c r="B71" s="17"/>
      <c r="D71" s="1">
        <f>COUNTIFS(D5:D59,"=Escolas da Caranguejeira - Santa Catarina da Serra")</f>
        <v>0</v>
      </c>
      <c r="E71" s="1" t="s">
        <v>67</v>
      </c>
    </row>
    <row r="72" spans="1:11" x14ac:dyDescent="0.25">
      <c r="B72" s="17"/>
      <c r="D72" s="1">
        <f>COUNTIFS(D5:D59,"=Escolas de Colmeias")</f>
        <v>0</v>
      </c>
      <c r="E72" s="1" t="s">
        <v>35</v>
      </c>
    </row>
    <row r="73" spans="1:11" x14ac:dyDescent="0.25">
      <c r="B73" s="17"/>
      <c r="D73" s="1">
        <f>COUNTIFS(D5:D59,"=Escolas de Marrazes")</f>
        <v>0</v>
      </c>
      <c r="E73" s="1" t="s">
        <v>36</v>
      </c>
    </row>
    <row r="74" spans="1:11" x14ac:dyDescent="0.25">
      <c r="B74" s="17"/>
      <c r="D74" s="1">
        <f>COUNTIFS(D5:D59,"=Escolas Domingos Sequeira")</f>
        <v>0</v>
      </c>
      <c r="E74" s="1" t="s">
        <v>37</v>
      </c>
    </row>
    <row r="75" spans="1:11" x14ac:dyDescent="0.25">
      <c r="B75" s="17"/>
      <c r="D75" s="1">
        <f>COUNTIFS(D5:D59,"=Escolas D. Dinis")</f>
        <v>0</v>
      </c>
      <c r="E75" s="1" t="s">
        <v>38</v>
      </c>
    </row>
    <row r="76" spans="1:11" x14ac:dyDescent="0.25">
      <c r="B76" s="17"/>
      <c r="D76" s="1">
        <f>COUNTIFS(D5:D60,"=Henrique Sommer")</f>
        <v>0</v>
      </c>
      <c r="E76" s="1" t="s">
        <v>92</v>
      </c>
    </row>
    <row r="77" spans="1:11" x14ac:dyDescent="0.25">
      <c r="B77" s="17"/>
      <c r="D77" s="1">
        <f>SUM(D69:D76)</f>
        <v>0</v>
      </c>
      <c r="E77" s="1" t="s">
        <v>69</v>
      </c>
    </row>
    <row r="78" spans="1:11" x14ac:dyDescent="0.25">
      <c r="B78" s="17"/>
    </row>
  </sheetData>
  <customSheetViews>
    <customSheetView guid="{7E850ADC-7020-4CE4-9656-1D37A8554340}">
      <selection activeCell="D34" sqref="D34"/>
      <pageMargins left="0" right="0" top="0" bottom="0" header="0" footer="0"/>
      <pageSetup paperSize="9" orientation="portrait" horizontalDpi="300" verticalDpi="300"/>
    </customSheetView>
    <customSheetView guid="{6C6D19B4-0AAB-4D39-9585-2246A62E9472}">
      <selection activeCell="D34" sqref="D34"/>
      <pageMargins left="0" right="0" top="0" bottom="0" header="0" footer="0"/>
      <pageSetup paperSize="9" orientation="portrait" horizontalDpi="300" verticalDpi="300"/>
    </customSheetView>
  </customSheetViews>
  <mergeCells count="2">
    <mergeCell ref="B1:K1"/>
    <mergeCell ref="B3:K3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34998626667073579"/>
  </sheetPr>
  <dimension ref="A1:K77"/>
  <sheetViews>
    <sheetView workbookViewId="0">
      <selection activeCell="F5" sqref="F5"/>
    </sheetView>
  </sheetViews>
  <sheetFormatPr defaultColWidth="8.85546875" defaultRowHeight="15" x14ac:dyDescent="0.25"/>
  <cols>
    <col min="1" max="1" width="12.42578125" style="1" bestFit="1" customWidth="1"/>
    <col min="2" max="2" width="11.42578125" style="1" customWidth="1"/>
    <col min="3" max="3" width="32.42578125" style="1" customWidth="1"/>
    <col min="4" max="4" width="42.42578125" style="1" bestFit="1" customWidth="1"/>
    <col min="5" max="5" width="25.140625" style="1" bestFit="1" customWidth="1"/>
    <col min="6" max="6" width="10.28515625" style="1" customWidth="1"/>
    <col min="7" max="7" width="9.42578125" style="1" customWidth="1"/>
    <col min="8" max="9" width="9" style="1" customWidth="1"/>
    <col min="10" max="10" width="9.5703125" style="7" customWidth="1"/>
    <col min="11" max="11" width="63.42578125" style="1" bestFit="1" customWidth="1"/>
  </cols>
  <sheetData>
    <row r="1" spans="1:11" ht="21" x14ac:dyDescent="0.35">
      <c r="B1" s="239" t="s">
        <v>549</v>
      </c>
      <c r="C1" s="239"/>
      <c r="D1" s="239"/>
      <c r="E1" s="239"/>
      <c r="F1" s="239"/>
      <c r="G1" s="239"/>
      <c r="H1" s="239"/>
      <c r="I1" s="239"/>
      <c r="J1" s="239"/>
      <c r="K1" s="239"/>
    </row>
    <row r="3" spans="1:11" ht="15" customHeight="1" x14ac:dyDescent="0.25">
      <c r="A3" s="93"/>
      <c r="B3" s="241" t="s">
        <v>93</v>
      </c>
      <c r="C3" s="241"/>
      <c r="D3" s="241"/>
      <c r="E3" s="241"/>
      <c r="F3" s="241"/>
      <c r="G3" s="241"/>
      <c r="H3" s="241"/>
      <c r="I3" s="241"/>
      <c r="J3" s="241"/>
      <c r="K3" s="241"/>
    </row>
    <row r="4" spans="1:11" s="9" customFormat="1" ht="15" customHeight="1" x14ac:dyDescent="0.25">
      <c r="A4" s="88" t="s">
        <v>1</v>
      </c>
      <c r="B4" s="8" t="s">
        <v>2</v>
      </c>
      <c r="C4" s="8" t="s">
        <v>3</v>
      </c>
      <c r="D4" s="8" t="s">
        <v>5</v>
      </c>
      <c r="E4" s="8" t="s">
        <v>4</v>
      </c>
      <c r="F4" s="8" t="s">
        <v>595</v>
      </c>
      <c r="G4" s="8" t="s">
        <v>597</v>
      </c>
      <c r="H4" s="8" t="s">
        <v>598</v>
      </c>
      <c r="I4" s="8" t="s">
        <v>596</v>
      </c>
      <c r="J4" s="8" t="s">
        <v>604</v>
      </c>
      <c r="K4" s="8" t="s">
        <v>94</v>
      </c>
    </row>
    <row r="5" spans="1:11" s="4" customFormat="1" ht="18" customHeight="1" x14ac:dyDescent="0.2">
      <c r="A5" s="11"/>
      <c r="B5" s="25"/>
      <c r="C5" s="12"/>
      <c r="D5" s="12" t="str">
        <f>IF(C5&gt;0,LOOKUP(C5,'Lista de Escolas'!$C$3:$C$178,'Lista de Escolas'!$E$3:$E$178),"")</f>
        <v/>
      </c>
      <c r="E5" s="12"/>
      <c r="F5" s="12"/>
      <c r="G5" s="12"/>
      <c r="H5" s="12"/>
      <c r="I5" s="12"/>
      <c r="J5" s="10"/>
      <c r="K5" s="12" t="s">
        <v>64</v>
      </c>
    </row>
    <row r="6" spans="1:11" s="4" customFormat="1" ht="19.5" customHeight="1" x14ac:dyDescent="0.2">
      <c r="A6" s="11"/>
      <c r="B6" s="25"/>
      <c r="C6" s="12"/>
      <c r="D6" s="12" t="str">
        <f>IF(C6&gt;0,LOOKUP(C6,'Lista de Escolas'!$C$3:$C$178,'Lista de Escolas'!$E$3:$E$178),"")</f>
        <v/>
      </c>
      <c r="E6" s="12"/>
      <c r="F6" s="12"/>
      <c r="G6" s="12"/>
      <c r="H6" s="12"/>
      <c r="I6" s="12"/>
      <c r="J6" s="14"/>
      <c r="K6" s="12" t="s">
        <v>64</v>
      </c>
    </row>
    <row r="7" spans="1:11" s="4" customFormat="1" ht="18" customHeight="1" x14ac:dyDescent="0.2">
      <c r="A7" s="6"/>
      <c r="B7" s="2"/>
      <c r="C7" s="3"/>
      <c r="D7" s="12" t="str">
        <f>IF(C7&gt;0,LOOKUP(C7,'Lista de Escolas'!$C$3:$C$178,'Lista de Escolas'!$E$3:$E$178),"")</f>
        <v/>
      </c>
      <c r="E7" s="3"/>
      <c r="F7" s="3"/>
      <c r="G7" s="3"/>
      <c r="H7" s="3"/>
      <c r="I7" s="3"/>
      <c r="J7" s="5"/>
      <c r="K7" s="3" t="s">
        <v>64</v>
      </c>
    </row>
    <row r="8" spans="1:11" s="4" customFormat="1" ht="18" customHeight="1" x14ac:dyDescent="0.2">
      <c r="A8" s="6"/>
      <c r="B8" s="2"/>
      <c r="C8" s="12"/>
      <c r="D8" s="12" t="str">
        <f>IF(C8&gt;0,LOOKUP(C8,'Lista de Escolas'!$C$3:$C$178,'Lista de Escolas'!$E$3:$E$178),"")</f>
        <v/>
      </c>
      <c r="E8" s="12"/>
      <c r="F8" s="12"/>
      <c r="G8" s="12"/>
      <c r="H8" s="12"/>
      <c r="I8" s="12"/>
      <c r="J8" s="14"/>
      <c r="K8" s="12"/>
    </row>
    <row r="9" spans="1:11" s="4" customFormat="1" ht="18" customHeight="1" x14ac:dyDescent="0.2">
      <c r="A9" s="6"/>
      <c r="B9" s="2"/>
      <c r="C9" s="3"/>
      <c r="D9" s="12" t="str">
        <f>IF(C9&gt;0,LOOKUP(C9,'Lista de Escolas'!$C$3:$C$178,'Lista de Escolas'!$E$3:$E$178),"")</f>
        <v/>
      </c>
      <c r="E9" s="3"/>
      <c r="F9" s="3"/>
      <c r="G9" s="3"/>
      <c r="H9" s="3"/>
      <c r="I9" s="3"/>
      <c r="J9" s="5"/>
      <c r="K9" s="3"/>
    </row>
    <row r="10" spans="1:11" s="4" customFormat="1" ht="18" customHeight="1" x14ac:dyDescent="0.2">
      <c r="A10" s="6"/>
      <c r="B10" s="2"/>
      <c r="C10" s="3"/>
      <c r="D10" s="12" t="str">
        <f>IF(C10&gt;0,LOOKUP(C10,'Lista de Escolas'!$C$3:$C$178,'Lista de Escolas'!$E$3:$E$178),"")</f>
        <v/>
      </c>
      <c r="E10" s="3"/>
      <c r="F10" s="3"/>
      <c r="G10" s="3"/>
      <c r="H10" s="3"/>
      <c r="I10" s="3"/>
      <c r="J10" s="5"/>
      <c r="K10" s="3"/>
    </row>
    <row r="11" spans="1:11" s="4" customFormat="1" ht="18" customHeight="1" x14ac:dyDescent="0.2">
      <c r="A11" s="6"/>
      <c r="B11" s="2"/>
      <c r="C11" s="3"/>
      <c r="D11" s="12" t="str">
        <f>IF(C11&gt;0,LOOKUP(C11,'Lista de Escolas'!$C$3:$C$178,'Lista de Escolas'!$E$3:$E$178),"")</f>
        <v/>
      </c>
      <c r="E11" s="3"/>
      <c r="F11" s="3"/>
      <c r="G11" s="3"/>
      <c r="H11" s="3"/>
      <c r="I11" s="3"/>
      <c r="J11" s="5"/>
      <c r="K11" s="3"/>
    </row>
    <row r="12" spans="1:11" s="4" customFormat="1" ht="18" customHeight="1" x14ac:dyDescent="0.2">
      <c r="A12" s="6"/>
      <c r="B12" s="2"/>
      <c r="C12" s="3"/>
      <c r="D12" s="12" t="str">
        <f>IF(C12&gt;0,LOOKUP(C12,'Lista de Escolas'!$C$3:$C$178,'Lista de Escolas'!$E$3:$E$178),"")</f>
        <v/>
      </c>
      <c r="E12" s="3"/>
      <c r="F12" s="3"/>
      <c r="G12" s="3"/>
      <c r="H12" s="3"/>
      <c r="I12" s="3"/>
      <c r="J12" s="5"/>
      <c r="K12" s="3"/>
    </row>
    <row r="13" spans="1:11" s="4" customFormat="1" ht="18" customHeight="1" x14ac:dyDescent="0.2">
      <c r="A13" s="6"/>
      <c r="B13" s="2"/>
      <c r="C13" s="3"/>
      <c r="D13" s="12" t="str">
        <f>IF(C13&gt;0,LOOKUP(C13,'Lista de Escolas'!$C$3:$C$178,'Lista de Escolas'!$E$3:$E$178),"")</f>
        <v/>
      </c>
      <c r="E13" s="3"/>
      <c r="F13" s="3"/>
      <c r="G13" s="3"/>
      <c r="H13" s="3"/>
      <c r="I13" s="3"/>
      <c r="J13" s="5"/>
      <c r="K13" s="3"/>
    </row>
    <row r="14" spans="1:11" ht="18" customHeight="1" x14ac:dyDescent="0.25">
      <c r="A14" s="19"/>
      <c r="B14" s="2"/>
      <c r="C14" s="3"/>
      <c r="D14" s="12" t="str">
        <f>IF(C14&gt;0,LOOKUP(C14,'Lista de Escolas'!$C$3:$C$178,'Lista de Escolas'!$E$3:$E$178),"")</f>
        <v/>
      </c>
      <c r="E14" s="3"/>
      <c r="F14" s="3"/>
      <c r="G14" s="3"/>
      <c r="H14" s="3"/>
      <c r="I14" s="3"/>
      <c r="J14" s="5"/>
      <c r="K14" s="3"/>
    </row>
    <row r="15" spans="1:11" ht="18" customHeight="1" x14ac:dyDescent="0.25">
      <c r="A15" s="19"/>
      <c r="B15" s="2"/>
      <c r="C15" s="12"/>
      <c r="D15" s="12" t="str">
        <f>IF(C15&gt;0,LOOKUP(C15,'Lista de Escolas'!$C$3:$C$178,'Lista de Escolas'!$E$3:$E$178),"")</f>
        <v/>
      </c>
      <c r="E15" s="12"/>
      <c r="F15" s="12"/>
      <c r="G15" s="12"/>
      <c r="H15" s="12"/>
      <c r="I15" s="12"/>
      <c r="J15" s="14"/>
      <c r="K15" s="83"/>
    </row>
    <row r="16" spans="1:11" s="13" customFormat="1" ht="18" customHeight="1" x14ac:dyDescent="0.2">
      <c r="A16" s="23"/>
      <c r="B16" s="2"/>
      <c r="C16" s="12"/>
      <c r="D16" s="12" t="str">
        <f>IF(C16&gt;0,LOOKUP(C16,'Lista de Escolas'!$C$3:$C$178,'Lista de Escolas'!$E$3:$E$178),"")</f>
        <v/>
      </c>
      <c r="E16" s="17"/>
      <c r="F16" s="17"/>
      <c r="G16" s="17"/>
      <c r="H16" s="17"/>
      <c r="I16" s="17"/>
      <c r="K16" s="12"/>
    </row>
    <row r="17" spans="1:11" ht="18" customHeight="1" x14ac:dyDescent="0.25">
      <c r="A17" s="19"/>
      <c r="B17" s="6"/>
      <c r="C17" s="12"/>
      <c r="D17" s="12" t="str">
        <f>IF(C17&gt;0,LOOKUP(C17,'Lista de Escolas'!$C$3:$C$178,'Lista de Escolas'!$E$3:$E$178),"")</f>
        <v/>
      </c>
      <c r="E17" s="12"/>
      <c r="F17" s="12"/>
      <c r="G17" s="12"/>
      <c r="H17" s="12"/>
      <c r="I17" s="12"/>
      <c r="J17" s="5"/>
      <c r="K17" s="3"/>
    </row>
    <row r="18" spans="1:11" ht="18" customHeight="1" x14ac:dyDescent="0.25">
      <c r="A18" s="19"/>
      <c r="B18" s="6"/>
      <c r="C18" s="3"/>
      <c r="D18" s="12" t="str">
        <f>IF(C18&gt;0,LOOKUP(C18,'Lista de Escolas'!$C$3:$C$178,'Lista de Escolas'!$E$3:$E$178),"")</f>
        <v/>
      </c>
      <c r="E18" s="3"/>
      <c r="F18" s="3"/>
      <c r="G18" s="3"/>
      <c r="H18" s="3"/>
      <c r="I18" s="3"/>
      <c r="J18" s="5"/>
      <c r="K18" s="3"/>
    </row>
    <row r="19" spans="1:11" ht="18" customHeight="1" x14ac:dyDescent="0.25">
      <c r="A19" s="19"/>
      <c r="B19" s="6"/>
      <c r="C19" s="3"/>
      <c r="D19" s="12" t="str">
        <f>IF(C19&gt;0,LOOKUP(C19,'Lista de Escolas'!$C$3:$C$178,'Lista de Escolas'!$E$3:$E$178),"")</f>
        <v/>
      </c>
      <c r="E19" s="3"/>
      <c r="F19" s="3"/>
      <c r="G19" s="3"/>
      <c r="H19" s="3"/>
      <c r="I19" s="3"/>
      <c r="J19" s="5"/>
      <c r="K19" s="3"/>
    </row>
    <row r="20" spans="1:11" ht="18" customHeight="1" x14ac:dyDescent="0.25">
      <c r="A20" s="19"/>
      <c r="B20" s="6"/>
      <c r="C20" s="3"/>
      <c r="D20" s="12" t="str">
        <f>IF(C20&gt;0,LOOKUP(C20,'Lista de Escolas'!$C$3:$C$178,'Lista de Escolas'!$E$3:$E$178),"")</f>
        <v/>
      </c>
      <c r="E20" s="3"/>
      <c r="F20" s="3"/>
      <c r="G20" s="3"/>
      <c r="H20" s="3"/>
      <c r="I20" s="3"/>
      <c r="J20" s="5"/>
      <c r="K20" s="3"/>
    </row>
    <row r="21" spans="1:11" ht="18" customHeight="1" x14ac:dyDescent="0.25">
      <c r="A21" s="22"/>
      <c r="B21" s="11"/>
      <c r="C21" s="12"/>
      <c r="D21" s="12" t="str">
        <f>IF(C21&gt;0,LOOKUP(C21,'Lista de Escolas'!$C$3:$C$178,'Lista de Escolas'!$E$3:$E$178),"")</f>
        <v/>
      </c>
      <c r="E21" s="3"/>
      <c r="F21" s="3"/>
      <c r="G21" s="3"/>
      <c r="H21" s="3"/>
      <c r="I21" s="3"/>
      <c r="J21" s="14"/>
      <c r="K21" s="3"/>
    </row>
    <row r="22" spans="1:11" ht="18" customHeight="1" x14ac:dyDescent="0.25">
      <c r="A22" s="19"/>
      <c r="B22" s="6"/>
      <c r="C22" s="3"/>
      <c r="D22" s="12" t="str">
        <f>IF(C22&gt;0,LOOKUP(C22,'Lista de Escolas'!$C$3:$C$178,'Lista de Escolas'!$E$3:$E$178),"")</f>
        <v/>
      </c>
      <c r="E22" s="3"/>
      <c r="F22" s="3"/>
      <c r="G22" s="3"/>
      <c r="H22" s="3"/>
      <c r="I22" s="3"/>
      <c r="J22" s="5"/>
      <c r="K22" s="3"/>
    </row>
    <row r="23" spans="1:11" ht="18" customHeight="1" x14ac:dyDescent="0.25">
      <c r="A23" s="19"/>
      <c r="B23" s="6"/>
      <c r="C23" s="3"/>
      <c r="D23" s="12" t="str">
        <f>IF(C23&gt;0,LOOKUP(C23,'Lista de Escolas'!$C$3:$C$178,'Lista de Escolas'!$E$3:$E$178),"")</f>
        <v/>
      </c>
      <c r="E23" s="3"/>
      <c r="F23" s="3"/>
      <c r="G23" s="3"/>
      <c r="H23" s="3"/>
      <c r="I23" s="3"/>
      <c r="J23" s="5"/>
      <c r="K23" s="3"/>
    </row>
    <row r="24" spans="1:11" ht="18" customHeight="1" x14ac:dyDescent="0.25">
      <c r="A24" s="19"/>
      <c r="B24" s="6"/>
      <c r="C24" s="3"/>
      <c r="D24" s="12" t="str">
        <f>IF(C24&gt;0,LOOKUP(C24,'Lista de Escolas'!$C$3:$C$178,'Lista de Escolas'!$E$3:$E$178),"")</f>
        <v/>
      </c>
      <c r="E24" s="3"/>
      <c r="F24" s="3"/>
      <c r="G24" s="3"/>
      <c r="H24" s="3"/>
      <c r="I24" s="3"/>
      <c r="J24" s="5"/>
      <c r="K24" s="3"/>
    </row>
    <row r="25" spans="1:11" ht="18" customHeight="1" x14ac:dyDescent="0.25">
      <c r="A25" s="22"/>
      <c r="B25" s="11"/>
      <c r="C25" s="12"/>
      <c r="D25" s="12" t="str">
        <f>IF(C25&gt;0,LOOKUP(C25,'Lista de Escolas'!$C$3:$C$178,'Lista de Escolas'!$E$3:$E$178),"")</f>
        <v/>
      </c>
      <c r="E25" s="12"/>
      <c r="F25" s="12"/>
      <c r="G25" s="12"/>
      <c r="H25" s="12"/>
      <c r="I25" s="12"/>
      <c r="J25" s="14"/>
      <c r="K25" s="12"/>
    </row>
    <row r="26" spans="1:11" ht="18" customHeight="1" x14ac:dyDescent="0.25">
      <c r="A26" s="19"/>
      <c r="B26" s="6"/>
      <c r="C26" s="3"/>
      <c r="D26" s="12" t="str">
        <f>IF(C26&gt;0,LOOKUP(C26,'Lista de Escolas'!$C$3:$C$178,'Lista de Escolas'!$E$3:$E$178),"")</f>
        <v/>
      </c>
      <c r="E26" s="3"/>
      <c r="F26" s="3"/>
      <c r="G26" s="3"/>
      <c r="H26" s="3"/>
      <c r="I26" s="3"/>
      <c r="J26" s="5"/>
      <c r="K26" s="3"/>
    </row>
    <row r="27" spans="1:11" ht="18" customHeight="1" x14ac:dyDescent="0.25">
      <c r="A27" s="22"/>
      <c r="B27" s="11"/>
      <c r="C27" s="12"/>
      <c r="D27" s="12" t="str">
        <f>IF(C27&gt;0,LOOKUP(C27,'Lista de Escolas'!$C$3:$C$178,'Lista de Escolas'!$E$3:$E$178),"")</f>
        <v/>
      </c>
      <c r="E27" s="12"/>
      <c r="F27" s="12"/>
      <c r="G27" s="12"/>
      <c r="H27" s="12"/>
      <c r="I27" s="12"/>
      <c r="J27" s="14"/>
      <c r="K27" s="3"/>
    </row>
    <row r="28" spans="1:11" ht="18" customHeight="1" x14ac:dyDescent="0.25">
      <c r="B28" s="6"/>
      <c r="C28" s="3"/>
      <c r="D28" s="12" t="str">
        <f>IF(C28&gt;0,LOOKUP(C28,'Lista de Escolas'!$C$3:$C$178,'Lista de Escolas'!$E$3:$E$178),"")</f>
        <v/>
      </c>
      <c r="E28" s="3"/>
      <c r="F28" s="3"/>
      <c r="G28" s="3"/>
      <c r="H28" s="3"/>
      <c r="I28" s="3"/>
      <c r="J28" s="5"/>
      <c r="K28" s="3"/>
    </row>
    <row r="29" spans="1:11" ht="18" customHeight="1" x14ac:dyDescent="0.25">
      <c r="B29" s="6"/>
      <c r="C29" s="3"/>
      <c r="D29" s="12" t="str">
        <f>IF(C29&gt;0,LOOKUP(C29,'Lista de Escolas'!$C$3:$C$178,'Lista de Escolas'!$E$3:$E$178),"")</f>
        <v/>
      </c>
      <c r="E29" s="3"/>
      <c r="F29" s="3"/>
      <c r="G29" s="3"/>
      <c r="H29" s="3"/>
      <c r="I29" s="3"/>
      <c r="J29" s="5"/>
      <c r="K29" s="3"/>
    </row>
    <row r="30" spans="1:11" ht="18" customHeight="1" x14ac:dyDescent="0.25">
      <c r="B30" s="3"/>
      <c r="C30" s="3"/>
      <c r="D30" s="12" t="str">
        <f>IF(C30&gt;0,LOOKUP(C30,'Lista de Escolas'!$C$3:$C$178,'Lista de Escolas'!$E$3:$E$178),"")</f>
        <v/>
      </c>
      <c r="E30" s="3"/>
      <c r="F30" s="3"/>
      <c r="G30" s="3"/>
      <c r="H30" s="3"/>
      <c r="I30" s="3"/>
      <c r="J30" s="5"/>
      <c r="K30" s="3"/>
    </row>
    <row r="31" spans="1:11" ht="18" customHeight="1" x14ac:dyDescent="0.25">
      <c r="B31" s="3"/>
      <c r="C31" s="3"/>
      <c r="D31" s="12" t="str">
        <f>IF(C31&gt;0,LOOKUP(C31,'Lista de Escolas'!$C$3:$C$178,'Lista de Escolas'!$E$3:$E$178),"")</f>
        <v/>
      </c>
      <c r="J31" s="5"/>
      <c r="K31" s="3"/>
    </row>
    <row r="32" spans="1:11" x14ac:dyDescent="0.25">
      <c r="B32" s="3"/>
      <c r="C32" s="3"/>
      <c r="D32" s="12" t="str">
        <f>IF(C32&gt;0,LOOKUP(C32,'Lista de Escolas'!$C$3:$C$178,'Lista de Escolas'!$E$3:$E$178),"")</f>
        <v/>
      </c>
      <c r="J32" s="5"/>
      <c r="K32" s="3"/>
    </row>
    <row r="33" spans="1:11" x14ac:dyDescent="0.25">
      <c r="A33"/>
      <c r="B33" s="3"/>
      <c r="C33" s="3"/>
      <c r="D33" s="12" t="str">
        <f>IF(C33&gt;0,LOOKUP(C33,'Lista de Escolas'!$C$3:$C$178,'Lista de Escolas'!$E$3:$E$178),"")</f>
        <v/>
      </c>
      <c r="J33" s="5"/>
      <c r="K33" s="3"/>
    </row>
    <row r="34" spans="1:11" x14ac:dyDescent="0.25">
      <c r="A34"/>
      <c r="D34" s="12" t="str">
        <f>IF(C34&gt;0,LOOKUP(C34,'Lista de Escolas'!$C$3:$C$178,'Lista de Escolas'!$E$3:$E$178),"")</f>
        <v/>
      </c>
    </row>
    <row r="35" spans="1:11" x14ac:dyDescent="0.25">
      <c r="A35"/>
      <c r="D35" s="12" t="str">
        <f>IF(C35&gt;0,LOOKUP(C35,'Lista de Escolas'!$C$3:$C$178,'Lista de Escolas'!$E$3:$E$178),"")</f>
        <v/>
      </c>
    </row>
    <row r="36" spans="1:11" x14ac:dyDescent="0.25">
      <c r="A36"/>
      <c r="D36" s="12" t="str">
        <f>IF(C36&gt;0,LOOKUP(C36,'Lista de Escolas'!$C$3:$C$178,'Lista de Escolas'!$E$3:$E$178),"")</f>
        <v/>
      </c>
    </row>
    <row r="37" spans="1:11" x14ac:dyDescent="0.25">
      <c r="A37"/>
      <c r="D37" s="12" t="str">
        <f>IF(C37&gt;0,LOOKUP(C37,'Lista de Escolas'!$C$3:$C$178,'Lista de Escolas'!$E$3:$E$178),"")</f>
        <v/>
      </c>
    </row>
    <row r="38" spans="1:11" x14ac:dyDescent="0.25">
      <c r="A38"/>
      <c r="D38" s="12" t="str">
        <f>IF(C38&gt;0,LOOKUP(C38,'Lista de Escolas'!$C$3:$C$178,'Lista de Escolas'!$E$3:$E$178),"")</f>
        <v/>
      </c>
    </row>
    <row r="39" spans="1:11" x14ac:dyDescent="0.25">
      <c r="A39"/>
      <c r="D39" s="12" t="str">
        <f>IF(C39&gt;0,LOOKUP(C39,'Lista de Escolas'!$C$3:$C$178,'Lista de Escolas'!$E$3:$E$178),"")</f>
        <v/>
      </c>
    </row>
    <row r="40" spans="1:11" x14ac:dyDescent="0.25">
      <c r="A40"/>
      <c r="D40" s="12" t="str">
        <f>IF(C40&gt;0,LOOKUP(C40,'Lista de Escolas'!$C$3:$C$178,'Lista de Escolas'!$E$3:$E$178),"")</f>
        <v/>
      </c>
    </row>
    <row r="41" spans="1:11" x14ac:dyDescent="0.25">
      <c r="A41"/>
      <c r="D41" s="12" t="str">
        <f>IF(C41&gt;0,LOOKUP(C41,'Lista de Escolas'!$C$3:$C$178,'Lista de Escolas'!$E$3:$E$178),"")</f>
        <v/>
      </c>
    </row>
    <row r="42" spans="1:11" x14ac:dyDescent="0.25">
      <c r="A42"/>
      <c r="D42" s="12" t="str">
        <f>IF(C42&gt;0,LOOKUP(C42,'Lista de Escolas'!$C$3:$C$178,'Lista de Escolas'!$E$3:$E$178),"")</f>
        <v/>
      </c>
    </row>
    <row r="43" spans="1:11" x14ac:dyDescent="0.25">
      <c r="A43"/>
      <c r="D43" s="12" t="str">
        <f>IF(C43&gt;0,LOOKUP(C43,'Lista de Escolas'!$C$3:$C$178,'Lista de Escolas'!$E$3:$E$178),"")</f>
        <v/>
      </c>
    </row>
    <row r="44" spans="1:11" x14ac:dyDescent="0.25">
      <c r="A44"/>
      <c r="D44" s="12" t="str">
        <f>IF(C44&gt;0,LOOKUP(C44,'Lista de Escolas'!$C$3:$C$178,'Lista de Escolas'!$E$3:$E$178),"")</f>
        <v/>
      </c>
    </row>
    <row r="45" spans="1:11" x14ac:dyDescent="0.25">
      <c r="A45"/>
      <c r="D45" s="12" t="str">
        <f>IF(C45&gt;0,LOOKUP(C45,'Lista de Escolas'!$C$3:$C$178,'Lista de Escolas'!$E$3:$E$178),"")</f>
        <v/>
      </c>
    </row>
    <row r="46" spans="1:11" x14ac:dyDescent="0.25">
      <c r="A46"/>
      <c r="D46" s="12" t="str">
        <f>IF(C46&gt;0,LOOKUP(C46,'Lista de Escolas'!$C$3:$C$178,'Lista de Escolas'!$E$3:$E$178),"")</f>
        <v/>
      </c>
    </row>
    <row r="47" spans="1:11" x14ac:dyDescent="0.25">
      <c r="A47"/>
      <c r="D47" s="12" t="str">
        <f>IF(C47&gt;0,LOOKUP(C47,'Lista de Escolas'!$C$3:$C$178,'Lista de Escolas'!$E$3:$E$178),"")</f>
        <v/>
      </c>
    </row>
    <row r="48" spans="1:11" x14ac:dyDescent="0.25">
      <c r="A48"/>
      <c r="D48" s="12" t="str">
        <f>IF(C48&gt;0,LOOKUP(C48,'Lista de Escolas'!$C$3:$C$178,'Lista de Escolas'!$E$3:$E$178),"")</f>
        <v/>
      </c>
    </row>
    <row r="49" spans="1:11" x14ac:dyDescent="0.25">
      <c r="A49"/>
      <c r="B49"/>
      <c r="C49"/>
      <c r="D49" s="12" t="str">
        <f>IF(C49&gt;0,LOOKUP(C49,'Lista de Escolas'!$C$3:$C$178,'Lista de Escolas'!$E$3:$E$178),"")</f>
        <v/>
      </c>
      <c r="E49"/>
      <c r="F49"/>
      <c r="G49"/>
      <c r="H49"/>
      <c r="I49"/>
      <c r="J49"/>
      <c r="K49"/>
    </row>
    <row r="50" spans="1:11" x14ac:dyDescent="0.25">
      <c r="A50"/>
      <c r="B50"/>
      <c r="C50"/>
      <c r="D50" s="12" t="str">
        <f>IF(C50&gt;0,LOOKUP(C50,'Lista de Escolas'!$C$3:$C$178,'Lista de Escolas'!$E$3:$E$178),"")</f>
        <v/>
      </c>
      <c r="E50"/>
      <c r="F50"/>
      <c r="G50"/>
      <c r="H50"/>
      <c r="I50"/>
      <c r="J50"/>
      <c r="K50"/>
    </row>
    <row r="51" spans="1:11" x14ac:dyDescent="0.25">
      <c r="D51" s="12" t="str">
        <f>IF(C51&gt;0,LOOKUP(C51,'Lista de Escolas'!$C$3:$C$178,'Lista de Escolas'!$E$3:$E$178),"")</f>
        <v/>
      </c>
    </row>
    <row r="52" spans="1:11" x14ac:dyDescent="0.25">
      <c r="D52" s="12" t="str">
        <f>IF(C52&gt;0,LOOKUP(C52,'Lista de Escolas'!$C$3:$C$178,'Lista de Escolas'!$E$3:$E$178),"")</f>
        <v/>
      </c>
    </row>
    <row r="53" spans="1:11" x14ac:dyDescent="0.25">
      <c r="D53" s="12" t="str">
        <f>IF(C53&gt;0,LOOKUP(C53,'Lista de Escolas'!$C$3:$C$178,'Lista de Escolas'!$E$3:$E$178),"")</f>
        <v/>
      </c>
    </row>
    <row r="54" spans="1:11" x14ac:dyDescent="0.25">
      <c r="D54" s="12" t="str">
        <f>IF(C54&gt;0,LOOKUP(C54,'Lista de Escolas'!$C$3:$C$178,'Lista de Escolas'!$E$3:$E$178),"")</f>
        <v/>
      </c>
    </row>
    <row r="55" spans="1:11" x14ac:dyDescent="0.25">
      <c r="D55" s="12" t="str">
        <f>IF(C55&gt;0,LOOKUP(C55,'Lista de Escolas'!$C$3:$C$178,'Lista de Escolas'!$E$3:$E$178),"")</f>
        <v/>
      </c>
    </row>
    <row r="56" spans="1:11" x14ac:dyDescent="0.25">
      <c r="D56" s="12" t="str">
        <f>IF(C56&gt;0,LOOKUP(C56,'Lista de Escolas'!$C$3:$C$178,'Lista de Escolas'!$E$3:$E$178),"")</f>
        <v/>
      </c>
    </row>
    <row r="57" spans="1:11" x14ac:dyDescent="0.25">
      <c r="D57" s="12" t="str">
        <f>IF(C57&gt;0,LOOKUP(C57,'Lista de Escolas'!$C$3:$C$178,'Lista de Escolas'!$E$3:$E$178),"")</f>
        <v/>
      </c>
    </row>
    <row r="58" spans="1:11" x14ac:dyDescent="0.25">
      <c r="D58" s="12" t="str">
        <f>IF(C58&gt;0,LOOKUP(C58,'Lista de Escolas'!$C$3:$C$178,'Lista de Escolas'!$E$3:$E$178),"")</f>
        <v/>
      </c>
    </row>
    <row r="59" spans="1:11" x14ac:dyDescent="0.25">
      <c r="D59" s="12" t="str">
        <f>IF(C59&gt;0,LOOKUP(C59,'Lista de Escolas'!$C$3:$C$178,'Lista de Escolas'!$E$3:$E$178),"")</f>
        <v/>
      </c>
    </row>
    <row r="60" spans="1:11" x14ac:dyDescent="0.25">
      <c r="D60" s="12" t="str">
        <f>IF(C60&gt;0,LOOKUP(C60,'Lista de Escolas'!$C$3:$C$178,'Lista de Escolas'!$E$3:$E$178),"")</f>
        <v/>
      </c>
    </row>
    <row r="61" spans="1:11" x14ac:dyDescent="0.25">
      <c r="D61" s="12" t="str">
        <f>IF(C61&gt;0,LOOKUP(C61,'Lista de Escolas'!$C$3:$C$178,'Lista de Escolas'!$E$3:$E$178),"")</f>
        <v/>
      </c>
    </row>
    <row r="62" spans="1:11" x14ac:dyDescent="0.25">
      <c r="D62" s="12" t="str">
        <f>IF(C62&gt;0,LOOKUP(C62,'Lista de Escolas'!$C$3:$C$178,'Lista de Escolas'!$E$3:$E$178),"")</f>
        <v/>
      </c>
    </row>
    <row r="63" spans="1:11" x14ac:dyDescent="0.25">
      <c r="D63" s="12" t="str">
        <f>IF(C63&gt;0,LOOKUP(C63,'Lista de Escolas'!$C$3:$C$178,'Lista de Escolas'!$E$3:$E$178),"")</f>
        <v/>
      </c>
    </row>
    <row r="64" spans="1:11" x14ac:dyDescent="0.25">
      <c r="D64" s="12" t="str">
        <f>IF(C64&gt;0,LOOKUP(C64,'Lista de Escolas'!$C$3:$C$178,'Lista de Escolas'!$E$3:$E$178),"")</f>
        <v/>
      </c>
    </row>
    <row r="65" spans="1:11" x14ac:dyDescent="0.25">
      <c r="D65" s="12" t="str">
        <f>IF(C65&gt;0,LOOKUP(C65,'Lista de Escolas'!$C$3:$C$178,'Lista de Escolas'!$E$3:$E$178),"")</f>
        <v/>
      </c>
    </row>
    <row r="66" spans="1:11" x14ac:dyDescent="0.25">
      <c r="D66" s="12" t="str">
        <f>IF(C66&gt;0,LOOKUP(C66,'Lista de Escolas'!$C$3:$C$178,'Lista de Escolas'!$E$3:$E$178),"")</f>
        <v/>
      </c>
    </row>
    <row r="68" spans="1:11" x14ac:dyDescent="0.25">
      <c r="A68"/>
      <c r="B68" s="12" t="s">
        <v>31</v>
      </c>
      <c r="D68" s="1">
        <f>COUNTIFS(D5:D58,"=Escolas Rainha Santa Isabel")</f>
        <v>0</v>
      </c>
      <c r="E68" s="1" t="s">
        <v>32</v>
      </c>
      <c r="K68"/>
    </row>
    <row r="69" spans="1:11" x14ac:dyDescent="0.25">
      <c r="B69" s="12">
        <f>COUNT(B5:B67)</f>
        <v>0</v>
      </c>
      <c r="D69" s="1">
        <f>COUNTIFS(D5:D58,"=Escolas Dr. Correia Mateus")</f>
        <v>0</v>
      </c>
      <c r="E69" s="1" t="s">
        <v>33</v>
      </c>
    </row>
    <row r="70" spans="1:11" x14ac:dyDescent="0.25">
      <c r="B70" s="17"/>
      <c r="D70" s="1">
        <f>COUNTIFS(D5:D58,"=Escolas da Caranguejeira - Santa Catarina da Serra")</f>
        <v>0</v>
      </c>
      <c r="E70" s="1" t="s">
        <v>67</v>
      </c>
    </row>
    <row r="71" spans="1:11" x14ac:dyDescent="0.25">
      <c r="B71" s="17"/>
      <c r="D71" s="1">
        <f>COUNTIFS(D5:D58,"=Escolas de Colmeias")</f>
        <v>0</v>
      </c>
      <c r="E71" s="1" t="s">
        <v>35</v>
      </c>
    </row>
    <row r="72" spans="1:11" x14ac:dyDescent="0.25">
      <c r="B72" s="17"/>
      <c r="D72" s="1">
        <f>COUNTIFS(D5:D58,"=Escolas de Marrazes")</f>
        <v>0</v>
      </c>
      <c r="E72" s="1" t="s">
        <v>36</v>
      </c>
    </row>
    <row r="73" spans="1:11" x14ac:dyDescent="0.25">
      <c r="B73" s="17"/>
      <c r="D73" s="1">
        <f>COUNTIFS(D5:D58,"=Escolas Domingos Sequeira")</f>
        <v>0</v>
      </c>
      <c r="E73" s="1" t="s">
        <v>37</v>
      </c>
    </row>
    <row r="74" spans="1:11" x14ac:dyDescent="0.25">
      <c r="B74" s="17"/>
      <c r="D74" s="1">
        <f>COUNTIFS(D5:D58,"=Escolas D. Dinis")</f>
        <v>0</v>
      </c>
      <c r="E74" s="1" t="s">
        <v>38</v>
      </c>
    </row>
    <row r="75" spans="1:11" x14ac:dyDescent="0.25">
      <c r="B75" s="17"/>
      <c r="D75" s="1">
        <f>COUNTIFS(D5:D59,"=Escolas da Maceira")</f>
        <v>0</v>
      </c>
      <c r="E75" s="1" t="s">
        <v>39</v>
      </c>
    </row>
    <row r="76" spans="1:11" x14ac:dyDescent="0.25">
      <c r="B76" s="17"/>
      <c r="D76" s="1">
        <f>SUM(D68:D74)</f>
        <v>0</v>
      </c>
      <c r="E76" s="1" t="s">
        <v>69</v>
      </c>
    </row>
    <row r="77" spans="1:11" x14ac:dyDescent="0.25">
      <c r="B77" s="17"/>
    </row>
  </sheetData>
  <customSheetViews>
    <customSheetView guid="{7E850ADC-7020-4CE4-9656-1D37A8554340}">
      <selection activeCell="D34" sqref="D34"/>
      <pageMargins left="0" right="0" top="0" bottom="0" header="0" footer="0"/>
      <pageSetup orientation="portrait"/>
    </customSheetView>
    <customSheetView guid="{6C6D19B4-0AAB-4D39-9585-2246A62E9472}">
      <selection activeCell="D34" sqref="D34"/>
      <pageMargins left="0" right="0" top="0" bottom="0" header="0" footer="0"/>
      <pageSetup orientation="portrait"/>
    </customSheetView>
  </customSheetViews>
  <mergeCells count="2">
    <mergeCell ref="B1:K1"/>
    <mergeCell ref="B3:K3"/>
  </mergeCells>
  <phoneticPr fontId="6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Y22"/>
  <sheetViews>
    <sheetView zoomScaleNormal="100" zoomScalePageLayoutView="96" workbookViewId="0">
      <selection activeCell="G19" sqref="G19"/>
    </sheetView>
  </sheetViews>
  <sheetFormatPr defaultColWidth="8.85546875" defaultRowHeight="15" x14ac:dyDescent="0.25"/>
  <cols>
    <col min="1" max="12" width="15.42578125" bestFit="1" customWidth="1"/>
    <col min="13" max="13" width="18.42578125" style="87" bestFit="1" customWidth="1"/>
  </cols>
  <sheetData>
    <row r="1" spans="1:25" ht="28.5" customHeight="1" x14ac:dyDescent="0.25">
      <c r="A1" s="243" t="s">
        <v>95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</row>
    <row r="2" spans="1:25" s="176" customFormat="1" ht="28.5" customHeight="1" x14ac:dyDescent="0.25">
      <c r="A2" s="174" t="s">
        <v>96</v>
      </c>
      <c r="B2" s="174" t="s">
        <v>97</v>
      </c>
      <c r="C2" s="174" t="s">
        <v>98</v>
      </c>
      <c r="D2" s="174" t="s">
        <v>99</v>
      </c>
      <c r="E2" s="174" t="s">
        <v>100</v>
      </c>
      <c r="F2" s="174" t="s">
        <v>101</v>
      </c>
      <c r="G2" s="174" t="s">
        <v>102</v>
      </c>
      <c r="H2" s="174" t="s">
        <v>103</v>
      </c>
      <c r="I2" s="174" t="s">
        <v>104</v>
      </c>
      <c r="J2" s="174" t="s">
        <v>105</v>
      </c>
      <c r="K2" s="174" t="s">
        <v>106</v>
      </c>
      <c r="L2" s="174" t="s">
        <v>107</v>
      </c>
      <c r="M2" s="175" t="s">
        <v>108</v>
      </c>
      <c r="Y2" s="176" t="s">
        <v>142</v>
      </c>
    </row>
    <row r="3" spans="1:25" s="113" customFormat="1" ht="24.95" customHeight="1" x14ac:dyDescent="0.25">
      <c r="A3" s="244" t="s">
        <v>109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112" t="s">
        <v>109</v>
      </c>
    </row>
    <row r="4" spans="1:25" s="17" customFormat="1" ht="24.95" customHeight="1" x14ac:dyDescent="0.25">
      <c r="A4" s="114">
        <f>JAN!E64</f>
        <v>15</v>
      </c>
      <c r="B4" s="114">
        <f>FEV!E84</f>
        <v>6</v>
      </c>
      <c r="C4" s="114">
        <f>MAR!E65</f>
        <v>15</v>
      </c>
      <c r="D4" s="114">
        <f>ABR!E62</f>
        <v>11</v>
      </c>
      <c r="E4" s="114">
        <f>MAI!E62</f>
        <v>13</v>
      </c>
      <c r="F4" s="114">
        <f>JUN!E61</f>
        <v>5</v>
      </c>
      <c r="G4" s="114">
        <f>JUL!E60</f>
        <v>4</v>
      </c>
      <c r="H4" s="114">
        <f>AGO!E60</f>
        <v>0</v>
      </c>
      <c r="I4" s="114">
        <f>SET!E59</f>
        <v>0</v>
      </c>
      <c r="J4" s="114">
        <f>OUT!E63</f>
        <v>0</v>
      </c>
      <c r="K4" s="114">
        <f>NOV!D69</f>
        <v>0</v>
      </c>
      <c r="L4" s="114">
        <f>DEZ!D68</f>
        <v>0</v>
      </c>
      <c r="M4" s="115">
        <f>SUM(A4:L4)</f>
        <v>69</v>
      </c>
    </row>
    <row r="5" spans="1:25" s="113" customFormat="1" ht="24.95" customHeight="1" x14ac:dyDescent="0.25">
      <c r="A5" s="244" t="s">
        <v>33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112" t="s">
        <v>110</v>
      </c>
    </row>
    <row r="6" spans="1:25" s="17" customFormat="1" ht="24.95" customHeight="1" x14ac:dyDescent="0.25">
      <c r="A6" s="114">
        <f>JAN!E65</f>
        <v>11</v>
      </c>
      <c r="B6" s="114">
        <f>FEV!E85</f>
        <v>0</v>
      </c>
      <c r="C6" s="114">
        <f>MAR!E66</f>
        <v>0</v>
      </c>
      <c r="D6" s="114">
        <f>ABR!E63</f>
        <v>0</v>
      </c>
      <c r="E6" s="114">
        <f>MAI!E63</f>
        <v>0</v>
      </c>
      <c r="F6" s="114">
        <f>JUN!E62</f>
        <v>0</v>
      </c>
      <c r="G6" s="114">
        <f>JUL!E61</f>
        <v>0</v>
      </c>
      <c r="H6" s="114">
        <f>AGO!E61</f>
        <v>0</v>
      </c>
      <c r="I6" s="114">
        <f>SET!E60</f>
        <v>0</v>
      </c>
      <c r="J6" s="114">
        <f>OUT!E64</f>
        <v>0</v>
      </c>
      <c r="K6" s="114">
        <f>NOV!D70</f>
        <v>0</v>
      </c>
      <c r="L6" s="114">
        <f>DEZ!D69</f>
        <v>0</v>
      </c>
      <c r="M6" s="115">
        <f>SUM(A6:L6)</f>
        <v>11</v>
      </c>
    </row>
    <row r="7" spans="1:25" s="113" customFormat="1" ht="24.95" customHeight="1" x14ac:dyDescent="0.25">
      <c r="A7" s="244" t="s">
        <v>111</v>
      </c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112" t="s">
        <v>49</v>
      </c>
    </row>
    <row r="8" spans="1:25" s="17" customFormat="1" ht="24.95" customHeight="1" x14ac:dyDescent="0.25">
      <c r="A8" s="114">
        <f>JAN!E66</f>
        <v>0</v>
      </c>
      <c r="B8" s="114">
        <f>FEV!E86</f>
        <v>0</v>
      </c>
      <c r="C8" s="114">
        <f>MAR!E67</f>
        <v>4</v>
      </c>
      <c r="D8" s="114">
        <f>ABR!E64</f>
        <v>1</v>
      </c>
      <c r="E8" s="114">
        <f>MAI!E64</f>
        <v>0</v>
      </c>
      <c r="F8" s="114">
        <f>JUN!E63</f>
        <v>0</v>
      </c>
      <c r="G8" s="114">
        <f>JUL!E63</f>
        <v>0</v>
      </c>
      <c r="H8" s="114">
        <f>AGO!E62</f>
        <v>0</v>
      </c>
      <c r="I8" s="114">
        <f>SET!E61</f>
        <v>0</v>
      </c>
      <c r="J8" s="114">
        <f>OUT!E65</f>
        <v>0</v>
      </c>
      <c r="K8" s="114">
        <f>NOV!D71</f>
        <v>0</v>
      </c>
      <c r="L8" s="114">
        <f>DEZ!D70</f>
        <v>0</v>
      </c>
      <c r="M8" s="115">
        <f>SUM(A8:L8)</f>
        <v>5</v>
      </c>
    </row>
    <row r="9" spans="1:25" s="113" customFormat="1" ht="24.95" customHeight="1" x14ac:dyDescent="0.25">
      <c r="A9" s="244" t="s">
        <v>19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112" t="s">
        <v>19</v>
      </c>
    </row>
    <row r="10" spans="1:25" s="17" customFormat="1" ht="24.95" customHeight="1" x14ac:dyDescent="0.25">
      <c r="A10" s="114">
        <f>JAN!E67</f>
        <v>0</v>
      </c>
      <c r="B10" s="114">
        <f>FEV!E87</f>
        <v>0</v>
      </c>
      <c r="C10" s="114">
        <f>MAR!E68</f>
        <v>0</v>
      </c>
      <c r="D10" s="114">
        <f>ABR!E65</f>
        <v>0</v>
      </c>
      <c r="E10" s="114">
        <f>MAI!E65</f>
        <v>0</v>
      </c>
      <c r="F10" s="114">
        <f>JUN!E64</f>
        <v>0</v>
      </c>
      <c r="G10" s="114">
        <f>JUL!E63</f>
        <v>0</v>
      </c>
      <c r="H10" s="114">
        <f>AGO!E63</f>
        <v>0</v>
      </c>
      <c r="I10" s="114">
        <f>SET!E62</f>
        <v>0</v>
      </c>
      <c r="J10" s="114">
        <f>OUT!E66</f>
        <v>0</v>
      </c>
      <c r="K10" s="114">
        <f>NOV!D72</f>
        <v>0</v>
      </c>
      <c r="L10" s="114">
        <f>DEZ!D71</f>
        <v>0</v>
      </c>
      <c r="M10" s="115">
        <f>SUM(A10:L10)</f>
        <v>0</v>
      </c>
    </row>
    <row r="11" spans="1:25" s="113" customFormat="1" ht="24.95" customHeight="1" x14ac:dyDescent="0.25">
      <c r="A11" s="244" t="s">
        <v>58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112" t="s">
        <v>58</v>
      </c>
    </row>
    <row r="12" spans="1:25" s="17" customFormat="1" ht="24.95" customHeight="1" x14ac:dyDescent="0.25">
      <c r="A12" s="114">
        <f>JAN!E68</f>
        <v>0</v>
      </c>
      <c r="B12" s="114">
        <f>FEV!E88</f>
        <v>0</v>
      </c>
      <c r="C12" s="114">
        <f>MAR!E69</f>
        <v>0</v>
      </c>
      <c r="D12" s="114">
        <f>ABR!E66</f>
        <v>0</v>
      </c>
      <c r="E12" s="114">
        <f>MAI!E66</f>
        <v>0</v>
      </c>
      <c r="F12" s="114">
        <f>JUN!E65</f>
        <v>0</v>
      </c>
      <c r="G12" s="114">
        <f>JUL!E64</f>
        <v>0</v>
      </c>
      <c r="H12" s="114">
        <f>AGO!E64</f>
        <v>0</v>
      </c>
      <c r="I12" s="114">
        <f>SET!E63</f>
        <v>0</v>
      </c>
      <c r="J12" s="114">
        <f>OUT!E67</f>
        <v>0</v>
      </c>
      <c r="K12" s="114">
        <f>NOV!D73</f>
        <v>0</v>
      </c>
      <c r="L12" s="114">
        <f>DEZ!D72</f>
        <v>0</v>
      </c>
      <c r="M12" s="115">
        <f>SUM(A12:L12)</f>
        <v>0</v>
      </c>
    </row>
    <row r="13" spans="1:25" s="113" customFormat="1" ht="24.95" customHeight="1" x14ac:dyDescent="0.25">
      <c r="A13" s="244" t="s">
        <v>112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112" t="s">
        <v>112</v>
      </c>
    </row>
    <row r="14" spans="1:25" s="17" customFormat="1" ht="24.95" customHeight="1" x14ac:dyDescent="0.25">
      <c r="A14" s="114">
        <f>JAN!E69</f>
        <v>6</v>
      </c>
      <c r="B14" s="114">
        <f>FEV!E89</f>
        <v>4</v>
      </c>
      <c r="C14" s="114">
        <f>MAR!E70</f>
        <v>7</v>
      </c>
      <c r="D14" s="114">
        <f>ABR!E67</f>
        <v>1</v>
      </c>
      <c r="E14" s="114">
        <f>MAI!E67</f>
        <v>4</v>
      </c>
      <c r="F14" s="114">
        <f>JUN!E66</f>
        <v>3</v>
      </c>
      <c r="G14" s="114">
        <f>JUL!E65</f>
        <v>3</v>
      </c>
      <c r="H14" s="114">
        <f>AGO!E65</f>
        <v>0</v>
      </c>
      <c r="I14" s="114">
        <f>SET!E64</f>
        <v>0</v>
      </c>
      <c r="J14" s="114">
        <f>OUT!E68</f>
        <v>0</v>
      </c>
      <c r="K14" s="114">
        <f>NOV!D74</f>
        <v>0</v>
      </c>
      <c r="L14" s="114">
        <f>DEZ!D73</f>
        <v>0</v>
      </c>
      <c r="M14" s="115">
        <f>SUM(A14:L14)</f>
        <v>28</v>
      </c>
    </row>
    <row r="15" spans="1:25" s="113" customFormat="1" ht="24.95" customHeight="1" x14ac:dyDescent="0.25">
      <c r="A15" s="244" t="s">
        <v>113</v>
      </c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112" t="s">
        <v>113</v>
      </c>
    </row>
    <row r="16" spans="1:25" s="17" customFormat="1" ht="24.95" customHeight="1" x14ac:dyDescent="0.25">
      <c r="A16" s="114">
        <f>JAN!E70</f>
        <v>0</v>
      </c>
      <c r="B16" s="114">
        <f>FEV!E90</f>
        <v>1</v>
      </c>
      <c r="C16" s="114">
        <f>MAR!E71</f>
        <v>6</v>
      </c>
      <c r="D16" s="114">
        <f>ABR!E68</f>
        <v>6</v>
      </c>
      <c r="E16" s="114">
        <f>MAI!E68</f>
        <v>0</v>
      </c>
      <c r="F16" s="114">
        <f>JUN!E67</f>
        <v>0</v>
      </c>
      <c r="G16" s="114">
        <f>JUL!E66</f>
        <v>0</v>
      </c>
      <c r="H16" s="114">
        <f>AGO!E66</f>
        <v>0</v>
      </c>
      <c r="I16" s="114">
        <f>SET!E65</f>
        <v>0</v>
      </c>
      <c r="J16" s="114">
        <f>OUT!E69</f>
        <v>0</v>
      </c>
      <c r="K16" s="114">
        <f>NOV!D75</f>
        <v>0</v>
      </c>
      <c r="L16" s="114">
        <f>DEZ!D74</f>
        <v>0</v>
      </c>
      <c r="M16" s="115">
        <f>SUM(A16:L16)</f>
        <v>13</v>
      </c>
    </row>
    <row r="17" spans="1:13" s="113" customFormat="1" ht="24.95" customHeight="1" x14ac:dyDescent="0.25">
      <c r="A17" s="244" t="s">
        <v>92</v>
      </c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112" t="s">
        <v>92</v>
      </c>
    </row>
    <row r="18" spans="1:13" s="1" customFormat="1" ht="24.95" customHeight="1" x14ac:dyDescent="0.25">
      <c r="A18" s="111">
        <f>JAN!E71</f>
        <v>3</v>
      </c>
      <c r="B18" s="111">
        <f>FEV!E91</f>
        <v>0</v>
      </c>
      <c r="C18" s="111">
        <f>MAR!E72</f>
        <v>5</v>
      </c>
      <c r="D18" s="111">
        <f>ABR!E69</f>
        <v>2</v>
      </c>
      <c r="E18" s="111">
        <f>MAI!E69</f>
        <v>2</v>
      </c>
      <c r="F18" s="111">
        <f>JUN!E68</f>
        <v>3</v>
      </c>
      <c r="G18" s="111">
        <f>JUL!E67</f>
        <v>0</v>
      </c>
      <c r="H18" s="111">
        <f>AGO!E67</f>
        <v>0</v>
      </c>
      <c r="I18" s="111">
        <f>SET!E66</f>
        <v>0</v>
      </c>
      <c r="J18" s="111">
        <f>OUT!E70</f>
        <v>0</v>
      </c>
      <c r="K18" s="111">
        <f>NOV!D76</f>
        <v>0</v>
      </c>
      <c r="L18" s="111">
        <f>DEZ!D75</f>
        <v>0</v>
      </c>
      <c r="M18" s="115">
        <f>SUM(A18:L18)</f>
        <v>15</v>
      </c>
    </row>
    <row r="20" spans="1:13" ht="18.75" x14ac:dyDescent="0.3">
      <c r="A20" s="242" t="s">
        <v>114</v>
      </c>
      <c r="B20" s="242"/>
      <c r="C20" s="242"/>
      <c r="D20" s="242"/>
      <c r="E20" s="242"/>
      <c r="F20" s="242"/>
      <c r="G20" s="242"/>
      <c r="H20" s="242"/>
      <c r="I20" s="242"/>
      <c r="J20" s="242"/>
      <c r="K20" s="242"/>
      <c r="L20" s="242"/>
      <c r="M20" s="242"/>
    </row>
    <row r="21" spans="1:13" s="110" customFormat="1" ht="21.75" customHeight="1" x14ac:dyDescent="0.25">
      <c r="A21" s="116" t="s">
        <v>96</v>
      </c>
      <c r="B21" s="116" t="s">
        <v>97</v>
      </c>
      <c r="C21" s="116" t="s">
        <v>98</v>
      </c>
      <c r="D21" s="116" t="s">
        <v>99</v>
      </c>
      <c r="E21" s="116" t="s">
        <v>100</v>
      </c>
      <c r="F21" s="116" t="s">
        <v>101</v>
      </c>
      <c r="G21" s="116" t="s">
        <v>102</v>
      </c>
      <c r="H21" s="116" t="s">
        <v>103</v>
      </c>
      <c r="I21" s="116" t="s">
        <v>104</v>
      </c>
      <c r="J21" s="116" t="s">
        <v>105</v>
      </c>
      <c r="K21" s="116" t="s">
        <v>106</v>
      </c>
      <c r="L21" s="116" t="s">
        <v>107</v>
      </c>
      <c r="M21" s="117" t="s">
        <v>69</v>
      </c>
    </row>
    <row r="22" spans="1:13" ht="22.5" customHeight="1" x14ac:dyDescent="0.25">
      <c r="A22" s="145">
        <f>JAN!E72</f>
        <v>35</v>
      </c>
      <c r="B22" s="145">
        <f>FEV!E92</f>
        <v>11</v>
      </c>
      <c r="C22" s="145">
        <f>MAR!E73</f>
        <v>37</v>
      </c>
      <c r="D22" s="145">
        <f>ABR!B63</f>
        <v>21</v>
      </c>
      <c r="E22" s="145">
        <f>MAI!B63</f>
        <v>24</v>
      </c>
      <c r="F22" s="146">
        <f>JUN!B62</f>
        <v>15</v>
      </c>
      <c r="G22" s="146">
        <f>JUL!E68</f>
        <v>7</v>
      </c>
      <c r="H22" s="146">
        <f>AGO!E68</f>
        <v>0</v>
      </c>
      <c r="I22" s="145">
        <f>SET!E67</f>
        <v>0</v>
      </c>
      <c r="J22" s="145">
        <f>OUT!E71</f>
        <v>0</v>
      </c>
      <c r="K22" s="145">
        <f>NOV!B70</f>
        <v>0</v>
      </c>
      <c r="L22" s="145">
        <f>DEZ!B69</f>
        <v>0</v>
      </c>
      <c r="M22" s="115">
        <f>SUM(A22:L22)</f>
        <v>150</v>
      </c>
    </row>
  </sheetData>
  <customSheetViews>
    <customSheetView guid="{7E850ADC-7020-4CE4-9656-1D37A8554340}" scale="96">
      <selection activeCell="I8" sqref="I8"/>
      <pageMargins left="0" right="0" top="0" bottom="0" header="0" footer="0"/>
      <pageSetup paperSize="9" orientation="landscape" horizontalDpi="300" verticalDpi="300"/>
    </customSheetView>
    <customSheetView guid="{6C6D19B4-0AAB-4D39-9585-2246A62E9472}" scale="96">
      <selection activeCell="I8" sqref="I8"/>
      <pageMargins left="0" right="0" top="0" bottom="0" header="0" footer="0"/>
      <pageSetup paperSize="9" orientation="landscape" horizontalDpi="300" verticalDpi="300"/>
    </customSheetView>
  </customSheetViews>
  <mergeCells count="10">
    <mergeCell ref="A20:M20"/>
    <mergeCell ref="A1:M1"/>
    <mergeCell ref="A17:L17"/>
    <mergeCell ref="A15:L15"/>
    <mergeCell ref="A13:L13"/>
    <mergeCell ref="A11:L11"/>
    <mergeCell ref="A9:L9"/>
    <mergeCell ref="A7:L7"/>
    <mergeCell ref="A5:L5"/>
    <mergeCell ref="A3:L3"/>
  </mergeCells>
  <phoneticPr fontId="6" type="noConversion"/>
  <pageMargins left="0.7" right="0.7" top="0.75" bottom="0.75" header="0.3" footer="0.3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3:N37"/>
  <sheetViews>
    <sheetView zoomScale="120" zoomScaleNormal="120" workbookViewId="0">
      <selection activeCell="F25" sqref="F25"/>
    </sheetView>
  </sheetViews>
  <sheetFormatPr defaultColWidth="8.85546875" defaultRowHeight="15" x14ac:dyDescent="0.25"/>
  <cols>
    <col min="1" max="1" width="11.5703125" style="1" bestFit="1" customWidth="1"/>
    <col min="2" max="2" width="13.28515625" style="1" customWidth="1"/>
    <col min="5" max="5" width="26.140625" customWidth="1"/>
    <col min="6" max="6" width="9.7109375" customWidth="1"/>
    <col min="8" max="8" width="14.28515625" bestFit="1" customWidth="1"/>
    <col min="12" max="12" width="27.7109375" bestFit="1" customWidth="1"/>
    <col min="13" max="13" width="46.28515625" customWidth="1"/>
    <col min="14" max="14" width="66" bestFit="1" customWidth="1"/>
    <col min="15" max="15" width="10.85546875" bestFit="1" customWidth="1"/>
    <col min="16" max="16" width="8.5703125" bestFit="1" customWidth="1"/>
    <col min="17" max="17" width="6.85546875" bestFit="1" customWidth="1"/>
    <col min="18" max="18" width="14.28515625" bestFit="1" customWidth="1"/>
  </cols>
  <sheetData>
    <row r="3" spans="1:14" ht="15.75" x14ac:dyDescent="0.25">
      <c r="A3" s="223" t="s">
        <v>591</v>
      </c>
      <c r="B3" s="224"/>
      <c r="E3" s="222" t="s">
        <v>599</v>
      </c>
      <c r="F3" s="110"/>
      <c r="H3" s="245" t="s">
        <v>6</v>
      </c>
      <c r="I3" s="245"/>
      <c r="K3" s="246" t="s">
        <v>624</v>
      </c>
      <c r="L3" s="246"/>
      <c r="M3" s="246"/>
      <c r="N3" s="246"/>
    </row>
    <row r="4" spans="1:14" s="13" customFormat="1" ht="15.75" x14ac:dyDescent="0.25">
      <c r="A4" s="84" t="s">
        <v>590</v>
      </c>
      <c r="B4" s="84" t="s">
        <v>69</v>
      </c>
      <c r="E4" s="214" t="s">
        <v>594</v>
      </c>
      <c r="F4" s="214" t="s">
        <v>69</v>
      </c>
      <c r="H4" s="217" t="s">
        <v>115</v>
      </c>
      <c r="I4" s="217" t="s">
        <v>69</v>
      </c>
      <c r="K4" s="218" t="s">
        <v>590</v>
      </c>
      <c r="L4" s="218" t="s">
        <v>116</v>
      </c>
      <c r="M4" s="218" t="s">
        <v>140</v>
      </c>
      <c r="N4" s="218" t="s">
        <v>625</v>
      </c>
    </row>
    <row r="5" spans="1:14" x14ac:dyDescent="0.25">
      <c r="A5" s="213">
        <v>2024</v>
      </c>
      <c r="B5" s="219">
        <f>COUNTIF($K$5:$K$40,"=2024")</f>
        <v>1</v>
      </c>
      <c r="E5" s="7" t="s">
        <v>32</v>
      </c>
      <c r="F5" s="1">
        <f>JUL!E60</f>
        <v>4</v>
      </c>
      <c r="H5" s="118" t="s">
        <v>595</v>
      </c>
      <c r="I5" s="1">
        <f>JAN!F64+FEV!F84+MAR!F80+ABR!F62+MAI!F61</f>
        <v>71</v>
      </c>
      <c r="K5" s="1">
        <v>2024</v>
      </c>
      <c r="L5" t="s">
        <v>57</v>
      </c>
      <c r="M5" t="str">
        <f>IF(L5&gt;0,LOOKUP(L5,'Lista de Escolas'!$C$2:$C$181,'Lista de Escolas'!$E$2:$E$181),"")</f>
        <v>Escolas Domingos Sequeira</v>
      </c>
      <c r="N5" t="s">
        <v>627</v>
      </c>
    </row>
    <row r="6" spans="1:14" x14ac:dyDescent="0.25">
      <c r="A6" s="213">
        <v>2025</v>
      </c>
      <c r="B6" s="219">
        <f>COUNTIF($K$5:$K$40,"=2025")</f>
        <v>2</v>
      </c>
      <c r="E6" s="7" t="s">
        <v>33</v>
      </c>
      <c r="F6" s="1">
        <f>JUL!E61</f>
        <v>0</v>
      </c>
      <c r="H6" s="118" t="s">
        <v>597</v>
      </c>
      <c r="I6" s="1">
        <f>JAN!G64+FEV!G84+MAR!G80+ABR!G62+MAI!G61</f>
        <v>24</v>
      </c>
      <c r="K6" s="1">
        <v>2025</v>
      </c>
      <c r="L6" t="s">
        <v>85</v>
      </c>
      <c r="M6" t="str">
        <f>IF(L6&gt;0,LOOKUP(L6,'Lista de Escolas'!$C$2:$C$181,'Lista de Escolas'!$E$2:$E$181),"")</f>
        <v>Escolas Domingos Sequeira</v>
      </c>
      <c r="N6" t="s">
        <v>628</v>
      </c>
    </row>
    <row r="7" spans="1:14" x14ac:dyDescent="0.25">
      <c r="A7" s="213">
        <v>2026</v>
      </c>
      <c r="B7" s="219">
        <f>COUNTIF($K$5:$K$40,"=2026")</f>
        <v>6</v>
      </c>
      <c r="E7" s="7" t="s">
        <v>34</v>
      </c>
      <c r="F7" s="1">
        <f>JUL!E62</f>
        <v>0</v>
      </c>
      <c r="H7" s="118" t="s">
        <v>598</v>
      </c>
      <c r="I7" s="1">
        <f>JAN!F64+FEV!H84+MAR!H80+ABR!H62+MAI!H61</f>
        <v>60</v>
      </c>
      <c r="K7" s="1">
        <v>2025</v>
      </c>
      <c r="L7" t="s">
        <v>59</v>
      </c>
      <c r="M7" t="str">
        <f>IF(L7&gt;0,LOOKUP(L7,'Lista de Escolas'!$C$2:$C$181,'Lista de Escolas'!$E$2:$E$181),"")</f>
        <v>Escolas Domingos Sequeira</v>
      </c>
      <c r="N7" t="s">
        <v>629</v>
      </c>
    </row>
    <row r="8" spans="1:14" x14ac:dyDescent="0.25">
      <c r="A8" s="213"/>
      <c r="E8" s="7" t="s">
        <v>35</v>
      </c>
      <c r="F8" s="1">
        <f>JUL!E63</f>
        <v>0</v>
      </c>
      <c r="H8" s="118" t="s">
        <v>596</v>
      </c>
      <c r="I8" s="1">
        <f>JAN!I64+FEV!I84+MAR!I80+ABR!I62+MAI!I61</f>
        <v>16</v>
      </c>
      <c r="K8" s="1">
        <v>2026</v>
      </c>
      <c r="L8" t="s">
        <v>65</v>
      </c>
      <c r="M8" t="str">
        <f>IF(L8&gt;0,LOOKUP(L8,'Lista de Escolas'!$C$2:$C$181,'Lista de Escolas'!$E$2:$E$181),"")</f>
        <v>Escolas Rainha Santa Isabel</v>
      </c>
      <c r="N8" t="s">
        <v>649</v>
      </c>
    </row>
    <row r="9" spans="1:14" x14ac:dyDescent="0.25">
      <c r="A9" s="213"/>
      <c r="E9" s="7" t="s">
        <v>36</v>
      </c>
      <c r="F9" s="1">
        <f>JUL!E64</f>
        <v>0</v>
      </c>
      <c r="H9" s="7" t="s">
        <v>610</v>
      </c>
      <c r="I9" s="1">
        <f>JAN!J64+FEV!J84+MAR!J80+ABR!J62+MAI!J61</f>
        <v>7</v>
      </c>
      <c r="K9" s="1">
        <v>2026</v>
      </c>
      <c r="L9" t="s">
        <v>85</v>
      </c>
      <c r="M9" t="str">
        <f>IF(L9&gt;0,LOOKUP(L9,'Lista de Escolas'!$C$2:$C$181,'Lista de Escolas'!$E$2:$E$181),"")</f>
        <v>Escolas Domingos Sequeira</v>
      </c>
      <c r="N9" t="s">
        <v>663</v>
      </c>
    </row>
    <row r="10" spans="1:14" x14ac:dyDescent="0.25">
      <c r="A10" s="213"/>
      <c r="E10" s="7" t="s">
        <v>37</v>
      </c>
      <c r="F10" s="1">
        <f>JUL!E65</f>
        <v>3</v>
      </c>
      <c r="K10" s="1">
        <v>2026</v>
      </c>
      <c r="L10" t="s">
        <v>139</v>
      </c>
      <c r="M10" t="str">
        <f>IF(L10&gt;0,LOOKUP(L10,'Lista de Escolas'!$C$2:$C$181,'Lista de Escolas'!$E$2:$E$181),"")</f>
        <v>Escolas da Caranguejeira - Santa Catarina da Serra</v>
      </c>
      <c r="N10" t="s">
        <v>663</v>
      </c>
    </row>
    <row r="11" spans="1:14" x14ac:dyDescent="0.25">
      <c r="A11" s="213"/>
      <c r="E11" s="7" t="s">
        <v>38</v>
      </c>
      <c r="F11" s="1">
        <f>JUL!E66</f>
        <v>0</v>
      </c>
      <c r="K11" s="1">
        <v>2026</v>
      </c>
      <c r="L11" t="s">
        <v>210</v>
      </c>
      <c r="M11" t="str">
        <f>IF(L11&gt;0,LOOKUP(L11,'Lista de Escolas'!$C$2:$C$181,'Lista de Escolas'!$E$2:$E$181),"")</f>
        <v>Escolas Domingos Sequeira</v>
      </c>
      <c r="N11" t="s">
        <v>797</v>
      </c>
    </row>
    <row r="12" spans="1:14" x14ac:dyDescent="0.25">
      <c r="A12" s="213"/>
      <c r="E12" s="7" t="s">
        <v>68</v>
      </c>
      <c r="F12" s="1">
        <f>JUL!E67</f>
        <v>0</v>
      </c>
      <c r="K12" s="1">
        <v>2026</v>
      </c>
      <c r="L12" t="s">
        <v>83</v>
      </c>
      <c r="M12" t="str">
        <f>IF(L12&gt;0,LOOKUP(L12,'Lista de Escolas'!$C$2:$C$181,'Lista de Escolas'!$E$2:$E$181),"")</f>
        <v>Escolas Rainha Santa Isabel</v>
      </c>
      <c r="N12" t="s">
        <v>812</v>
      </c>
    </row>
    <row r="13" spans="1:14" ht="15.75" x14ac:dyDescent="0.25">
      <c r="A13" s="213"/>
      <c r="E13" s="220" t="s">
        <v>69</v>
      </c>
      <c r="F13" s="221">
        <f>SUM(F5:F12)</f>
        <v>7</v>
      </c>
      <c r="K13" s="1">
        <v>2026</v>
      </c>
      <c r="L13" t="s">
        <v>79</v>
      </c>
      <c r="M13" t="str">
        <f>IF(L13&gt;0,LOOKUP(L13,'Lista de Escolas'!$C$2:$C$181,'Lista de Escolas'!$E$2:$E$181),"")</f>
        <v>Escolas Rainha Santa Isabel</v>
      </c>
      <c r="N13" t="s">
        <v>815</v>
      </c>
    </row>
    <row r="14" spans="1:14" x14ac:dyDescent="0.25">
      <c r="K14" s="1"/>
      <c r="M14" t="str">
        <f>IF(L14&gt;0,LOOKUP(L14,'Lista de Escolas'!$C$2:$C$181,'Lista de Escolas'!$E$2:$E$181),"")</f>
        <v/>
      </c>
    </row>
    <row r="15" spans="1:14" x14ac:dyDescent="0.25">
      <c r="E15" s="13" t="s">
        <v>600</v>
      </c>
      <c r="K15" s="1"/>
      <c r="M15" t="str">
        <f>IF(L15&gt;0,LOOKUP(L15,'Lista de Escolas'!$C$2:$C$181,'Lista de Escolas'!$E$2:$E$181),"")</f>
        <v/>
      </c>
    </row>
    <row r="16" spans="1:14" ht="15.75" x14ac:dyDescent="0.25">
      <c r="E16" s="214" t="s">
        <v>594</v>
      </c>
      <c r="F16" s="214" t="s">
        <v>69</v>
      </c>
      <c r="H16" s="247" t="s">
        <v>774</v>
      </c>
      <c r="I16" s="247"/>
      <c r="K16" s="1"/>
      <c r="M16" t="str">
        <f>IF(L16&gt;0,LOOKUP(L16,'Lista de Escolas'!$C$2:$C$181,'Lista de Escolas'!$E$2:$E$181),"")</f>
        <v/>
      </c>
    </row>
    <row r="17" spans="1:13" x14ac:dyDescent="0.25">
      <c r="E17" s="7" t="s">
        <v>32</v>
      </c>
      <c r="F17" s="1">
        <f>Totais!M4</f>
        <v>69</v>
      </c>
      <c r="H17" s="229" t="s">
        <v>115</v>
      </c>
      <c r="I17" s="229" t="s">
        <v>69</v>
      </c>
      <c r="K17" s="1"/>
      <c r="M17" t="str">
        <f>IF(L17&gt;0,LOOKUP(L17,'Lista de Escolas'!$C$2:$C$181,'Lista de Escolas'!$E$2:$E$181),"")</f>
        <v/>
      </c>
    </row>
    <row r="18" spans="1:13" x14ac:dyDescent="0.25">
      <c r="E18" s="7" t="s">
        <v>33</v>
      </c>
      <c r="F18" s="1">
        <f>Totais!M6</f>
        <v>11</v>
      </c>
      <c r="H18" s="118" t="s">
        <v>595</v>
      </c>
      <c r="I18" s="1">
        <f>JUL!F60</f>
        <v>4</v>
      </c>
      <c r="K18" s="1"/>
      <c r="M18" t="str">
        <f>IF(L18&gt;0,LOOKUP(L18,'Lista de Escolas'!$C$2:$C$181,'Lista de Escolas'!$E$2:$E$181),"")</f>
        <v/>
      </c>
    </row>
    <row r="19" spans="1:13" x14ac:dyDescent="0.25">
      <c r="E19" s="7" t="s">
        <v>34</v>
      </c>
      <c r="F19" s="1">
        <f>Totais!M8</f>
        <v>5</v>
      </c>
      <c r="H19" s="118" t="s">
        <v>597</v>
      </c>
      <c r="I19" s="1">
        <f>JUL!G60</f>
        <v>1</v>
      </c>
      <c r="K19" s="1"/>
      <c r="M19" t="str">
        <f>IF(L19&gt;0,LOOKUP(L19,'Lista de Escolas'!$C$2:$C$181,'Lista de Escolas'!$E$2:$E$181),"")</f>
        <v/>
      </c>
    </row>
    <row r="20" spans="1:13" x14ac:dyDescent="0.25">
      <c r="E20" s="7" t="s">
        <v>35</v>
      </c>
      <c r="F20" s="1">
        <f>Totais!M10</f>
        <v>0</v>
      </c>
      <c r="H20" s="118" t="s">
        <v>598</v>
      </c>
      <c r="I20" s="1">
        <f>JUL!H60</f>
        <v>3</v>
      </c>
      <c r="K20" s="1"/>
      <c r="M20" t="str">
        <f>IF(L20&gt;0,LOOKUP(L20,'Lista de Escolas'!$C$2:$C$181,'Lista de Escolas'!$E$2:$E$181),"")</f>
        <v/>
      </c>
    </row>
    <row r="21" spans="1:13" x14ac:dyDescent="0.25">
      <c r="E21" s="7" t="s">
        <v>36</v>
      </c>
      <c r="F21" s="1">
        <f>Totais!M12</f>
        <v>0</v>
      </c>
      <c r="H21" s="118" t="s">
        <v>596</v>
      </c>
      <c r="I21" s="1">
        <f>JUL!I60</f>
        <v>1</v>
      </c>
      <c r="K21" s="1"/>
      <c r="M21" t="str">
        <f>IF(L21&gt;0,LOOKUP(L21,'Lista de Escolas'!$C$2:$C$181,'Lista de Escolas'!$E$2:$E$181),"")</f>
        <v/>
      </c>
    </row>
    <row r="22" spans="1:13" x14ac:dyDescent="0.25">
      <c r="A22" s="213"/>
      <c r="E22" s="7" t="s">
        <v>37</v>
      </c>
      <c r="F22" s="1">
        <f>Totais!M14</f>
        <v>28</v>
      </c>
      <c r="H22" s="7" t="s">
        <v>610</v>
      </c>
      <c r="I22" s="1">
        <f>JUL!J60</f>
        <v>2</v>
      </c>
      <c r="K22" s="1"/>
      <c r="M22" t="str">
        <f>IF(L22&gt;0,LOOKUP(L22,'Lista de Escolas'!$C$2:$C$181,'Lista de Escolas'!$E$2:$E$181),"")</f>
        <v/>
      </c>
    </row>
    <row r="23" spans="1:13" x14ac:dyDescent="0.25">
      <c r="A23" s="213"/>
      <c r="E23" s="7" t="s">
        <v>38</v>
      </c>
      <c r="F23" s="1">
        <f>Totais!M16</f>
        <v>13</v>
      </c>
      <c r="K23" s="1"/>
      <c r="M23" t="str">
        <f>IF(L23&gt;0,LOOKUP(L23,'Lista de Escolas'!$C$2:$C$181,'Lista de Escolas'!$E$2:$E$181),"")</f>
        <v/>
      </c>
    </row>
    <row r="24" spans="1:13" x14ac:dyDescent="0.25">
      <c r="A24" s="213"/>
      <c r="E24" s="7" t="s">
        <v>68</v>
      </c>
      <c r="F24" s="1">
        <f>Totais!M18</f>
        <v>15</v>
      </c>
      <c r="K24" s="1"/>
      <c r="M24" t="str">
        <f>IF(L24&gt;0,LOOKUP(L24,'Lista de Escolas'!$C$2:$C$181,'Lista de Escolas'!$E$2:$E$181),"")</f>
        <v/>
      </c>
    </row>
    <row r="25" spans="1:13" x14ac:dyDescent="0.25">
      <c r="A25" s="213"/>
      <c r="E25" s="215" t="s">
        <v>69</v>
      </c>
      <c r="F25" s="216">
        <f>SUM(F17:F24)</f>
        <v>141</v>
      </c>
      <c r="M25" t="str">
        <f>IF(L25&gt;0,LOOKUP(L25,'Lista de Escolas'!$C$2:$C$181,'Lista de Escolas'!$E$2:$E$181),"")</f>
        <v/>
      </c>
    </row>
    <row r="26" spans="1:13" x14ac:dyDescent="0.25">
      <c r="A26" s="213"/>
      <c r="M26" t="str">
        <f>IF(L26&gt;0,LOOKUP(L26,'Lista de Escolas'!$C$2:$C$181,'Lista de Escolas'!$E$2:$E$181),"")</f>
        <v/>
      </c>
    </row>
    <row r="27" spans="1:13" x14ac:dyDescent="0.25">
      <c r="A27" s="213"/>
      <c r="M27" t="str">
        <f>IF(L27&gt;0,LOOKUP(L27,'Lista de Escolas'!$C$2:$C$181,'Lista de Escolas'!$E$2:$E$181),"")</f>
        <v/>
      </c>
    </row>
    <row r="28" spans="1:13" x14ac:dyDescent="0.25">
      <c r="A28" s="213"/>
      <c r="M28" t="str">
        <f>IF(L28&gt;0,LOOKUP(L28,'Lista de Escolas'!$C$2:$C$181,'Lista de Escolas'!$E$2:$E$181),"")</f>
        <v/>
      </c>
    </row>
    <row r="29" spans="1:13" x14ac:dyDescent="0.25">
      <c r="A29" s="213"/>
      <c r="K29" s="1"/>
      <c r="M29" t="str">
        <f>IF(L29&gt;0,LOOKUP(L29,'Lista de Escolas'!$C$2:$C$181,'Lista de Escolas'!$E$2:$E$181),"")</f>
        <v/>
      </c>
    </row>
    <row r="30" spans="1:13" x14ac:dyDescent="0.25">
      <c r="A30" s="213"/>
      <c r="K30" s="1"/>
      <c r="M30" t="str">
        <f>IF(L30&gt;0,LOOKUP(L30,'Lista de Escolas'!$C$2:$C$181,'Lista de Escolas'!$E$2:$E$181),"")</f>
        <v/>
      </c>
    </row>
    <row r="31" spans="1:13" x14ac:dyDescent="0.25">
      <c r="A31" s="213"/>
      <c r="K31" s="1"/>
      <c r="M31" t="str">
        <f>IF(L31&gt;0,LOOKUP(L31,'Lista de Escolas'!$C$2:$C$181,'Lista de Escolas'!$E$2:$E$181),"")</f>
        <v/>
      </c>
    </row>
    <row r="32" spans="1:13" x14ac:dyDescent="0.25">
      <c r="A32" s="213"/>
      <c r="M32" t="str">
        <f>IF(L32&gt;0,LOOKUP(L32,'Lista de Escolas'!$C$2:$C$181,'Lista de Escolas'!$E$2:$E$181),"")</f>
        <v/>
      </c>
    </row>
    <row r="33" spans="1:13" x14ac:dyDescent="0.25">
      <c r="A33" s="213"/>
      <c r="M33" t="str">
        <f>IF(L33&gt;0,LOOKUP(L33,'Lista de Escolas'!$C$2:$C$181,'Lista de Escolas'!$E$2:$E$181),"")</f>
        <v/>
      </c>
    </row>
    <row r="34" spans="1:13" x14ac:dyDescent="0.25">
      <c r="A34" s="213"/>
      <c r="M34" t="str">
        <f>IF(L34&gt;0,LOOKUP(L34,'Lista de Escolas'!$C$2:$C$181,'Lista de Escolas'!$E$2:$E$181),"")</f>
        <v/>
      </c>
    </row>
    <row r="35" spans="1:13" x14ac:dyDescent="0.25">
      <c r="A35" s="213"/>
      <c r="M35" t="str">
        <f>IF(L35&gt;0,LOOKUP(L35,'Lista de Escolas'!$C$2:$C$181,'Lista de Escolas'!$E$2:$E$181),"")</f>
        <v/>
      </c>
    </row>
    <row r="36" spans="1:13" x14ac:dyDescent="0.25">
      <c r="A36" s="213"/>
    </row>
    <row r="37" spans="1:13" x14ac:dyDescent="0.25">
      <c r="A37" s="213"/>
    </row>
  </sheetData>
  <customSheetViews>
    <customSheetView guid="{7E850ADC-7020-4CE4-9656-1D37A8554340}" topLeftCell="C2">
      <pane ySplit="3" topLeftCell="A14" activePane="bottomLeft" state="frozen"/>
      <selection pane="bottomLeft" activeCell="F42" sqref="F42"/>
      <pageMargins left="0" right="0" top="0" bottom="0" header="0" footer="0"/>
      <pageSetup paperSize="9" orientation="portrait" horizontalDpi="1200" verticalDpi="1200" r:id="rId1"/>
    </customSheetView>
    <customSheetView guid="{6C6D19B4-0AAB-4D39-9585-2246A62E9472}" topLeftCell="A2">
      <pane ySplit="3" topLeftCell="A14" activePane="bottomLeft" state="frozen"/>
      <selection pane="bottomLeft" activeCell="F43" sqref="F43"/>
      <pageMargins left="0" right="0" top="0" bottom="0" header="0" footer="0"/>
      <pageSetup paperSize="9" orientation="portrait" horizontalDpi="1200" verticalDpi="1200" r:id="rId2"/>
    </customSheetView>
  </customSheetViews>
  <mergeCells count="3">
    <mergeCell ref="H3:I3"/>
    <mergeCell ref="K3:N3"/>
    <mergeCell ref="H16:I16"/>
  </mergeCells>
  <pageMargins left="0.7" right="0.7" top="0.75" bottom="0.75" header="0.3" footer="0.3"/>
  <pageSetup paperSize="9" orientation="portrait" horizontalDpi="1200" verticalDpi="1200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A1:D272"/>
  <sheetViews>
    <sheetView topLeftCell="A46" zoomScale="110" zoomScaleNormal="110" workbookViewId="0">
      <selection activeCell="B82" sqref="B82"/>
    </sheetView>
  </sheetViews>
  <sheetFormatPr defaultRowHeight="15" x14ac:dyDescent="0.25"/>
  <cols>
    <col min="1" max="1" width="14.140625" bestFit="1" customWidth="1"/>
    <col min="2" max="2" width="155.7109375" style="109" bestFit="1" customWidth="1"/>
    <col min="3" max="3" width="29.5703125" customWidth="1"/>
    <col min="4" max="4" width="13" customWidth="1"/>
  </cols>
  <sheetData>
    <row r="1" spans="1:4" x14ac:dyDescent="0.25">
      <c r="A1" s="17" t="s">
        <v>2</v>
      </c>
      <c r="B1" s="17" t="s">
        <v>694</v>
      </c>
      <c r="C1" s="17" t="s">
        <v>695</v>
      </c>
      <c r="D1" s="17" t="s">
        <v>721</v>
      </c>
    </row>
    <row r="2" spans="1:4" x14ac:dyDescent="0.25">
      <c r="A2" s="158"/>
      <c r="B2" s="109" t="s">
        <v>696</v>
      </c>
      <c r="C2" s="1"/>
    </row>
    <row r="3" spans="1:4" x14ac:dyDescent="0.25">
      <c r="A3" s="158"/>
      <c r="B3" s="109" t="s">
        <v>697</v>
      </c>
      <c r="C3" s="1"/>
    </row>
    <row r="4" spans="1:4" x14ac:dyDescent="0.25">
      <c r="A4" s="158"/>
      <c r="B4" s="109" t="s">
        <v>698</v>
      </c>
      <c r="C4" s="1"/>
    </row>
    <row r="5" spans="1:4" x14ac:dyDescent="0.25">
      <c r="A5" s="158"/>
      <c r="B5" s="109" t="s">
        <v>699</v>
      </c>
      <c r="C5" s="1"/>
    </row>
    <row r="6" spans="1:4" x14ac:dyDescent="0.25">
      <c r="A6" s="158"/>
      <c r="B6" s="109" t="s">
        <v>700</v>
      </c>
      <c r="C6" s="1"/>
    </row>
    <row r="7" spans="1:4" x14ac:dyDescent="0.25">
      <c r="A7" s="158"/>
      <c r="B7" s="109" t="s">
        <v>701</v>
      </c>
      <c r="C7" s="1"/>
    </row>
    <row r="8" spans="1:4" x14ac:dyDescent="0.25">
      <c r="A8" s="158"/>
      <c r="B8" s="109" t="s">
        <v>702</v>
      </c>
      <c r="C8" s="1"/>
    </row>
    <row r="9" spans="1:4" x14ac:dyDescent="0.25">
      <c r="A9" s="158"/>
      <c r="B9" s="109" t="s">
        <v>703</v>
      </c>
      <c r="C9" s="1"/>
    </row>
    <row r="10" spans="1:4" x14ac:dyDescent="0.25">
      <c r="A10" s="158"/>
      <c r="B10" s="109" t="s">
        <v>704</v>
      </c>
      <c r="C10" s="1"/>
    </row>
    <row r="11" spans="1:4" x14ac:dyDescent="0.25">
      <c r="A11" s="158"/>
      <c r="B11" s="109" t="s">
        <v>705</v>
      </c>
      <c r="C11" s="1"/>
    </row>
    <row r="12" spans="1:4" x14ac:dyDescent="0.25">
      <c r="A12" s="158"/>
      <c r="B12" s="109" t="s">
        <v>706</v>
      </c>
      <c r="C12" s="1"/>
    </row>
    <row r="13" spans="1:4" x14ac:dyDescent="0.25">
      <c r="A13" s="158"/>
      <c r="B13" s="109" t="s">
        <v>707</v>
      </c>
      <c r="C13" s="1"/>
    </row>
    <row r="14" spans="1:4" x14ac:dyDescent="0.25">
      <c r="A14" s="158" t="s">
        <v>71</v>
      </c>
      <c r="C14" s="1"/>
    </row>
    <row r="15" spans="1:4" x14ac:dyDescent="0.25">
      <c r="A15" s="225"/>
      <c r="C15" s="1"/>
    </row>
    <row r="16" spans="1:4" x14ac:dyDescent="0.25">
      <c r="A16" s="225">
        <v>46146</v>
      </c>
      <c r="B16" s="109" t="s">
        <v>713</v>
      </c>
      <c r="C16" s="1" t="s">
        <v>715</v>
      </c>
    </row>
    <row r="17" spans="1:3" x14ac:dyDescent="0.25">
      <c r="A17" s="225">
        <v>46147</v>
      </c>
      <c r="B17" s="109" t="s">
        <v>712</v>
      </c>
      <c r="C17" s="1" t="s">
        <v>714</v>
      </c>
    </row>
    <row r="18" spans="1:3" x14ac:dyDescent="0.25">
      <c r="A18" s="225">
        <v>46148</v>
      </c>
      <c r="B18" s="109" t="s">
        <v>744</v>
      </c>
      <c r="C18" s="1" t="s">
        <v>716</v>
      </c>
    </row>
    <row r="19" spans="1:3" x14ac:dyDescent="0.25">
      <c r="A19" s="225">
        <v>46149</v>
      </c>
      <c r="B19" s="109" t="s">
        <v>719</v>
      </c>
      <c r="C19" s="1" t="s">
        <v>714</v>
      </c>
    </row>
    <row r="20" spans="1:3" x14ac:dyDescent="0.25">
      <c r="A20" s="225">
        <v>46150</v>
      </c>
      <c r="B20" s="109" t="s">
        <v>723</v>
      </c>
      <c r="C20" s="1" t="s">
        <v>724</v>
      </c>
    </row>
    <row r="21" spans="1:3" x14ac:dyDescent="0.25">
      <c r="A21" s="228">
        <v>46153</v>
      </c>
      <c r="B21" s="109" t="s">
        <v>728</v>
      </c>
      <c r="C21" s="1"/>
    </row>
    <row r="22" spans="1:3" x14ac:dyDescent="0.25">
      <c r="B22" s="109" t="s">
        <v>729</v>
      </c>
      <c r="C22" s="1"/>
    </row>
    <row r="23" spans="1:3" x14ac:dyDescent="0.25">
      <c r="B23" s="109" t="s">
        <v>730</v>
      </c>
      <c r="C23" s="1"/>
    </row>
    <row r="24" spans="1:3" x14ac:dyDescent="0.25">
      <c r="B24" s="109" t="s">
        <v>731</v>
      </c>
      <c r="C24" s="1"/>
    </row>
    <row r="25" spans="1:3" x14ac:dyDescent="0.25">
      <c r="A25" s="225">
        <v>46154</v>
      </c>
      <c r="B25" s="109" t="s">
        <v>726</v>
      </c>
      <c r="C25" s="1"/>
    </row>
    <row r="26" spans="1:3" x14ac:dyDescent="0.25">
      <c r="A26" s="225"/>
      <c r="B26" s="109" t="s">
        <v>733</v>
      </c>
      <c r="C26" s="1"/>
    </row>
    <row r="27" spans="1:3" x14ac:dyDescent="0.25">
      <c r="A27" s="225"/>
      <c r="B27" s="109" t="s">
        <v>727</v>
      </c>
      <c r="C27" s="1"/>
    </row>
    <row r="28" spans="1:3" x14ac:dyDescent="0.25">
      <c r="A28" s="225"/>
      <c r="B28" s="109" t="s">
        <v>746</v>
      </c>
      <c r="C28" s="1"/>
    </row>
    <row r="29" spans="1:3" x14ac:dyDescent="0.25">
      <c r="A29" s="225"/>
      <c r="B29" s="109" t="s">
        <v>732</v>
      </c>
      <c r="C29" s="1"/>
    </row>
    <row r="30" spans="1:3" x14ac:dyDescent="0.25">
      <c r="A30" s="225">
        <v>46155</v>
      </c>
      <c r="B30" s="109" t="s">
        <v>745</v>
      </c>
      <c r="C30" s="1"/>
    </row>
    <row r="31" spans="1:3" x14ac:dyDescent="0.25">
      <c r="B31" s="109" t="s">
        <v>739</v>
      </c>
      <c r="C31" s="1"/>
    </row>
    <row r="32" spans="1:3" x14ac:dyDescent="0.25">
      <c r="A32" s="225">
        <v>46096</v>
      </c>
      <c r="B32" s="109" t="s">
        <v>741</v>
      </c>
      <c r="C32" s="1"/>
    </row>
    <row r="33" spans="1:3" x14ac:dyDescent="0.25">
      <c r="A33" s="225">
        <v>46160</v>
      </c>
      <c r="B33" s="109" t="s">
        <v>742</v>
      </c>
      <c r="C33" s="149"/>
    </row>
    <row r="34" spans="1:3" x14ac:dyDescent="0.25">
      <c r="A34" s="225"/>
      <c r="B34" s="109" t="s">
        <v>743</v>
      </c>
      <c r="C34" s="1"/>
    </row>
    <row r="35" spans="1:3" x14ac:dyDescent="0.25">
      <c r="A35" s="225"/>
      <c r="B35" s="109" t="s">
        <v>747</v>
      </c>
      <c r="C35" s="1"/>
    </row>
    <row r="36" spans="1:3" x14ac:dyDescent="0.25">
      <c r="A36" s="225"/>
      <c r="B36" s="109" t="s">
        <v>748</v>
      </c>
      <c r="C36" s="1"/>
    </row>
    <row r="37" spans="1:3" x14ac:dyDescent="0.25">
      <c r="A37" s="225">
        <v>46161</v>
      </c>
      <c r="B37" s="109" t="s">
        <v>749</v>
      </c>
      <c r="C37" s="1"/>
    </row>
    <row r="38" spans="1:3" x14ac:dyDescent="0.25">
      <c r="A38" s="225"/>
      <c r="B38" s="109" t="s">
        <v>750</v>
      </c>
      <c r="C38" s="1"/>
    </row>
    <row r="39" spans="1:3" x14ac:dyDescent="0.25">
      <c r="A39" s="225">
        <v>46162</v>
      </c>
      <c r="B39" s="109" t="s">
        <v>741</v>
      </c>
      <c r="C39" s="1"/>
    </row>
    <row r="40" spans="1:3" x14ac:dyDescent="0.25">
      <c r="A40" s="225"/>
      <c r="B40" s="109" t="s">
        <v>753</v>
      </c>
      <c r="C40" s="1"/>
    </row>
    <row r="41" spans="1:3" x14ac:dyDescent="0.25">
      <c r="A41" s="225">
        <v>46163</v>
      </c>
      <c r="B41" s="109" t="s">
        <v>754</v>
      </c>
      <c r="C41" s="1"/>
    </row>
    <row r="42" spans="1:3" x14ac:dyDescent="0.25">
      <c r="A42" s="225"/>
      <c r="B42" s="109" t="s">
        <v>755</v>
      </c>
    </row>
    <row r="43" spans="1:3" x14ac:dyDescent="0.25">
      <c r="A43" s="225">
        <v>46167</v>
      </c>
      <c r="B43" s="109" t="s">
        <v>741</v>
      </c>
      <c r="C43" s="1"/>
    </row>
    <row r="44" spans="1:3" x14ac:dyDescent="0.25">
      <c r="A44" s="228">
        <v>46168</v>
      </c>
      <c r="B44" s="109" t="s">
        <v>756</v>
      </c>
      <c r="C44" s="1"/>
    </row>
    <row r="45" spans="1:3" x14ac:dyDescent="0.25">
      <c r="A45" s="158"/>
      <c r="B45" s="109" t="s">
        <v>757</v>
      </c>
      <c r="C45" s="1"/>
    </row>
    <row r="46" spans="1:3" x14ac:dyDescent="0.25">
      <c r="A46" s="158"/>
      <c r="B46" s="109" t="s">
        <v>758</v>
      </c>
      <c r="C46" s="1"/>
    </row>
    <row r="47" spans="1:3" x14ac:dyDescent="0.25">
      <c r="A47" s="225">
        <v>46170</v>
      </c>
      <c r="B47" s="109" t="s">
        <v>741</v>
      </c>
      <c r="C47" s="1"/>
    </row>
    <row r="48" spans="1:3" x14ac:dyDescent="0.25">
      <c r="A48" s="225"/>
      <c r="B48" s="109" t="s">
        <v>759</v>
      </c>
      <c r="C48" s="1"/>
    </row>
    <row r="49" spans="1:3" x14ac:dyDescent="0.25">
      <c r="A49" s="225"/>
      <c r="B49" s="109" t="s">
        <v>760</v>
      </c>
      <c r="C49" s="1"/>
    </row>
    <row r="50" spans="1:3" x14ac:dyDescent="0.25">
      <c r="A50" s="225">
        <v>46171</v>
      </c>
      <c r="B50" s="109" t="s">
        <v>761</v>
      </c>
      <c r="C50" s="1"/>
    </row>
    <row r="51" spans="1:3" x14ac:dyDescent="0.25">
      <c r="A51" s="225"/>
      <c r="B51" s="109" t="s">
        <v>762</v>
      </c>
      <c r="C51" s="1"/>
    </row>
    <row r="52" spans="1:3" x14ac:dyDescent="0.25">
      <c r="A52" s="225">
        <v>46174</v>
      </c>
      <c r="B52" s="109" t="s">
        <v>767</v>
      </c>
      <c r="C52" s="1"/>
    </row>
    <row r="53" spans="1:3" x14ac:dyDescent="0.25">
      <c r="A53" s="225"/>
      <c r="B53" s="109" t="s">
        <v>769</v>
      </c>
      <c r="C53" s="1"/>
    </row>
    <row r="54" spans="1:3" x14ac:dyDescent="0.25">
      <c r="A54" s="225"/>
      <c r="B54" s="109" t="s">
        <v>770</v>
      </c>
      <c r="C54" s="1"/>
    </row>
    <row r="55" spans="1:3" x14ac:dyDescent="0.25">
      <c r="A55" s="225">
        <v>46175</v>
      </c>
      <c r="B55" s="109" t="s">
        <v>772</v>
      </c>
      <c r="C55" s="1"/>
    </row>
    <row r="56" spans="1:3" x14ac:dyDescent="0.25">
      <c r="A56" s="225"/>
      <c r="B56" s="109" t="s">
        <v>773</v>
      </c>
      <c r="C56" s="1"/>
    </row>
    <row r="57" spans="1:3" x14ac:dyDescent="0.25">
      <c r="A57" s="225">
        <v>46188</v>
      </c>
      <c r="B57" s="109" t="s">
        <v>775</v>
      </c>
      <c r="C57" s="1"/>
    </row>
    <row r="58" spans="1:3" x14ac:dyDescent="0.25">
      <c r="A58" s="225"/>
      <c r="B58" s="109" t="s">
        <v>776</v>
      </c>
      <c r="C58" s="1"/>
    </row>
    <row r="59" spans="1:3" x14ac:dyDescent="0.25">
      <c r="A59" s="225"/>
      <c r="B59" s="109" t="s">
        <v>777</v>
      </c>
      <c r="C59" s="1"/>
    </row>
    <row r="60" spans="1:3" x14ac:dyDescent="0.25">
      <c r="A60" s="225">
        <v>46191</v>
      </c>
      <c r="B60" s="109" t="s">
        <v>783</v>
      </c>
      <c r="C60" s="1"/>
    </row>
    <row r="61" spans="1:3" x14ac:dyDescent="0.25">
      <c r="A61" s="225"/>
      <c r="B61" s="109" t="s">
        <v>788</v>
      </c>
      <c r="C61" s="1"/>
    </row>
    <row r="62" spans="1:3" x14ac:dyDescent="0.25">
      <c r="A62" s="225"/>
      <c r="B62" s="109" t="s">
        <v>783</v>
      </c>
      <c r="C62" s="1"/>
    </row>
    <row r="63" spans="1:3" x14ac:dyDescent="0.25">
      <c r="A63" s="225">
        <v>46192</v>
      </c>
      <c r="B63" s="109" t="s">
        <v>789</v>
      </c>
      <c r="C63" s="1"/>
    </row>
    <row r="64" spans="1:3" x14ac:dyDescent="0.25">
      <c r="A64" s="225">
        <v>46195</v>
      </c>
      <c r="B64" s="109" t="s">
        <v>790</v>
      </c>
      <c r="C64" s="1"/>
    </row>
    <row r="65" spans="1:3" x14ac:dyDescent="0.25">
      <c r="A65" s="225">
        <v>46196</v>
      </c>
      <c r="B65" s="109" t="s">
        <v>794</v>
      </c>
      <c r="C65" s="1"/>
    </row>
    <row r="66" spans="1:3" x14ac:dyDescent="0.25">
      <c r="A66" s="158"/>
      <c r="B66" s="109" t="s">
        <v>795</v>
      </c>
      <c r="C66" s="1"/>
    </row>
    <row r="67" spans="1:3" x14ac:dyDescent="0.25">
      <c r="A67" s="158"/>
      <c r="B67" s="109" t="s">
        <v>796</v>
      </c>
      <c r="C67" s="1"/>
    </row>
    <row r="68" spans="1:3" x14ac:dyDescent="0.25">
      <c r="A68" s="158">
        <v>46198</v>
      </c>
      <c r="B68" s="109" t="s">
        <v>798</v>
      </c>
      <c r="C68" s="1"/>
    </row>
    <row r="69" spans="1:3" x14ac:dyDescent="0.25">
      <c r="A69" s="158"/>
      <c r="B69" s="109" t="s">
        <v>799</v>
      </c>
    </row>
    <row r="70" spans="1:3" x14ac:dyDescent="0.25">
      <c r="A70" s="158"/>
      <c r="B70" s="109" t="s">
        <v>800</v>
      </c>
    </row>
    <row r="71" spans="1:3" x14ac:dyDescent="0.25">
      <c r="A71" s="158"/>
      <c r="B71" s="109" t="s">
        <v>801</v>
      </c>
    </row>
    <row r="72" spans="1:3" x14ac:dyDescent="0.25">
      <c r="A72" s="228">
        <v>46202</v>
      </c>
      <c r="B72" s="109" t="s">
        <v>802</v>
      </c>
    </row>
    <row r="73" spans="1:3" x14ac:dyDescent="0.25">
      <c r="A73" s="158"/>
      <c r="B73" s="109" t="s">
        <v>803</v>
      </c>
    </row>
    <row r="74" spans="1:3" x14ac:dyDescent="0.25">
      <c r="A74" s="158"/>
      <c r="B74" s="109" t="s">
        <v>804</v>
      </c>
    </row>
    <row r="75" spans="1:3" x14ac:dyDescent="0.25">
      <c r="A75" s="158"/>
      <c r="B75" s="109" t="s">
        <v>805</v>
      </c>
    </row>
    <row r="76" spans="1:3" x14ac:dyDescent="0.25">
      <c r="A76" s="228">
        <v>46205</v>
      </c>
      <c r="B76" s="109" t="s">
        <v>811</v>
      </c>
    </row>
    <row r="77" spans="1:3" x14ac:dyDescent="0.25">
      <c r="A77" s="228">
        <v>46209</v>
      </c>
      <c r="B77" s="109" t="s">
        <v>813</v>
      </c>
    </row>
    <row r="78" spans="1:3" x14ac:dyDescent="0.25">
      <c r="A78" s="228"/>
      <c r="B78" s="109" t="s">
        <v>814</v>
      </c>
      <c r="C78" s="1"/>
    </row>
    <row r="79" spans="1:3" x14ac:dyDescent="0.25">
      <c r="A79" s="228">
        <v>46212</v>
      </c>
      <c r="B79" s="109" t="s">
        <v>818</v>
      </c>
      <c r="C79" s="1"/>
    </row>
    <row r="80" spans="1:3" x14ac:dyDescent="0.25">
      <c r="A80" s="228">
        <v>46216</v>
      </c>
      <c r="B80" s="109" t="s">
        <v>747</v>
      </c>
      <c r="C80" s="1"/>
    </row>
    <row r="81" spans="1:3" x14ac:dyDescent="0.25">
      <c r="A81" s="228"/>
      <c r="B81" s="109" t="s">
        <v>822</v>
      </c>
      <c r="C81" s="1"/>
    </row>
    <row r="82" spans="1:3" x14ac:dyDescent="0.25">
      <c r="A82" s="228"/>
      <c r="C82" s="1"/>
    </row>
    <row r="83" spans="1:3" x14ac:dyDescent="0.25">
      <c r="A83" s="228"/>
      <c r="C83" s="1"/>
    </row>
    <row r="84" spans="1:3" x14ac:dyDescent="0.25">
      <c r="A84" s="228"/>
      <c r="C84" s="1"/>
    </row>
    <row r="85" spans="1:3" x14ac:dyDescent="0.25">
      <c r="A85" s="228"/>
      <c r="C85" s="1"/>
    </row>
    <row r="86" spans="1:3" x14ac:dyDescent="0.25">
      <c r="A86" s="228"/>
      <c r="C86" s="1"/>
    </row>
    <row r="87" spans="1:3" x14ac:dyDescent="0.25">
      <c r="A87" s="228"/>
      <c r="C87" s="1"/>
    </row>
    <row r="88" spans="1:3" x14ac:dyDescent="0.25">
      <c r="A88" s="228"/>
      <c r="C88" s="1"/>
    </row>
    <row r="89" spans="1:3" x14ac:dyDescent="0.25">
      <c r="A89" s="158"/>
      <c r="C89" s="1"/>
    </row>
    <row r="90" spans="1:3" x14ac:dyDescent="0.25">
      <c r="A90" s="158"/>
      <c r="C90" s="1"/>
    </row>
    <row r="91" spans="1:3" x14ac:dyDescent="0.25">
      <c r="A91" s="158"/>
      <c r="C91" s="1"/>
    </row>
    <row r="92" spans="1:3" x14ac:dyDescent="0.25">
      <c r="A92" s="158"/>
      <c r="C92" s="1"/>
    </row>
    <row r="93" spans="1:3" x14ac:dyDescent="0.25">
      <c r="A93" s="158"/>
      <c r="C93" s="1"/>
    </row>
    <row r="94" spans="1:3" x14ac:dyDescent="0.25">
      <c r="A94" s="158"/>
      <c r="C94" s="1"/>
    </row>
    <row r="95" spans="1:3" x14ac:dyDescent="0.25">
      <c r="A95" s="158"/>
      <c r="C95" s="1"/>
    </row>
    <row r="96" spans="1:3" x14ac:dyDescent="0.25">
      <c r="A96" s="158"/>
      <c r="C96" s="1"/>
    </row>
    <row r="97" spans="1:3" x14ac:dyDescent="0.25">
      <c r="A97" s="158"/>
      <c r="C97" s="1"/>
    </row>
    <row r="98" spans="1:3" x14ac:dyDescent="0.25">
      <c r="A98" s="158"/>
      <c r="C98" s="1"/>
    </row>
    <row r="99" spans="1:3" x14ac:dyDescent="0.25">
      <c r="A99" s="158"/>
      <c r="C99" s="1"/>
    </row>
    <row r="100" spans="1:3" x14ac:dyDescent="0.25">
      <c r="A100" s="158"/>
      <c r="C100" s="1"/>
    </row>
    <row r="101" spans="1:3" x14ac:dyDescent="0.25">
      <c r="A101" s="158"/>
      <c r="C101" s="1"/>
    </row>
    <row r="102" spans="1:3" x14ac:dyDescent="0.25">
      <c r="A102" s="158"/>
      <c r="C102" s="1"/>
    </row>
    <row r="103" spans="1:3" x14ac:dyDescent="0.25">
      <c r="A103" s="158"/>
      <c r="C103" s="1"/>
    </row>
    <row r="104" spans="1:3" x14ac:dyDescent="0.25">
      <c r="A104" s="158"/>
      <c r="C104" s="1"/>
    </row>
    <row r="105" spans="1:3" x14ac:dyDescent="0.25">
      <c r="A105" s="158"/>
      <c r="C105" s="1"/>
    </row>
    <row r="106" spans="1:3" x14ac:dyDescent="0.25">
      <c r="A106" s="158"/>
      <c r="C106" s="1"/>
    </row>
    <row r="107" spans="1:3" x14ac:dyDescent="0.25">
      <c r="A107" s="158"/>
      <c r="C107" s="1"/>
    </row>
    <row r="108" spans="1:3" x14ac:dyDescent="0.25">
      <c r="A108" s="158"/>
      <c r="C108" s="1"/>
    </row>
    <row r="109" spans="1:3" x14ac:dyDescent="0.25">
      <c r="A109" s="158"/>
      <c r="C109" s="1"/>
    </row>
    <row r="110" spans="1:3" x14ac:dyDescent="0.25">
      <c r="A110" s="158"/>
      <c r="C110" s="1"/>
    </row>
    <row r="111" spans="1:3" x14ac:dyDescent="0.25">
      <c r="A111" s="158"/>
      <c r="C111" s="1"/>
    </row>
    <row r="112" spans="1:3" x14ac:dyDescent="0.25">
      <c r="A112" s="158"/>
      <c r="C112" s="1"/>
    </row>
    <row r="113" spans="1:3" x14ac:dyDescent="0.25">
      <c r="A113" s="158"/>
      <c r="C113" s="1"/>
    </row>
    <row r="114" spans="1:3" x14ac:dyDescent="0.25">
      <c r="A114" s="158"/>
      <c r="C114" s="1"/>
    </row>
    <row r="115" spans="1:3" x14ac:dyDescent="0.25">
      <c r="A115" s="158"/>
      <c r="C115" s="1"/>
    </row>
    <row r="116" spans="1:3" x14ac:dyDescent="0.25">
      <c r="A116" s="158"/>
      <c r="C116" s="1"/>
    </row>
    <row r="117" spans="1:3" x14ac:dyDescent="0.25">
      <c r="A117" s="158"/>
      <c r="C117" s="1"/>
    </row>
    <row r="118" spans="1:3" x14ac:dyDescent="0.25">
      <c r="A118" s="158"/>
      <c r="C118" s="1"/>
    </row>
    <row r="119" spans="1:3" x14ac:dyDescent="0.25">
      <c r="A119" s="158"/>
      <c r="C119" s="1"/>
    </row>
    <row r="120" spans="1:3" x14ac:dyDescent="0.25">
      <c r="A120" s="158"/>
    </row>
    <row r="121" spans="1:3" x14ac:dyDescent="0.25">
      <c r="A121" s="158"/>
    </row>
    <row r="122" spans="1:3" x14ac:dyDescent="0.25">
      <c r="A122" s="158"/>
    </row>
    <row r="123" spans="1:3" x14ac:dyDescent="0.25">
      <c r="A123" s="158"/>
    </row>
    <row r="124" spans="1:3" x14ac:dyDescent="0.25">
      <c r="A124" s="158"/>
    </row>
    <row r="125" spans="1:3" x14ac:dyDescent="0.25">
      <c r="A125" s="158"/>
    </row>
    <row r="126" spans="1:3" x14ac:dyDescent="0.25">
      <c r="A126" s="158"/>
    </row>
    <row r="127" spans="1:3" x14ac:dyDescent="0.25">
      <c r="A127" s="158"/>
    </row>
    <row r="128" spans="1:3" x14ac:dyDescent="0.25">
      <c r="A128" s="158"/>
    </row>
    <row r="129" spans="1:3" x14ac:dyDescent="0.25">
      <c r="A129" s="158"/>
    </row>
    <row r="130" spans="1:3" x14ac:dyDescent="0.25">
      <c r="A130" s="158"/>
    </row>
    <row r="131" spans="1:3" x14ac:dyDescent="0.25">
      <c r="A131" s="158"/>
    </row>
    <row r="132" spans="1:3" x14ac:dyDescent="0.25">
      <c r="A132" s="158"/>
    </row>
    <row r="133" spans="1:3" x14ac:dyDescent="0.25">
      <c r="A133" s="158"/>
    </row>
    <row r="134" spans="1:3" x14ac:dyDescent="0.25">
      <c r="A134" s="158"/>
    </row>
    <row r="135" spans="1:3" x14ac:dyDescent="0.25">
      <c r="A135" s="158"/>
    </row>
    <row r="136" spans="1:3" x14ac:dyDescent="0.25">
      <c r="A136" s="158"/>
    </row>
    <row r="137" spans="1:3" x14ac:dyDescent="0.25">
      <c r="A137" s="158"/>
    </row>
    <row r="138" spans="1:3" x14ac:dyDescent="0.25">
      <c r="A138" s="158"/>
    </row>
    <row r="139" spans="1:3" x14ac:dyDescent="0.25">
      <c r="A139" s="158"/>
    </row>
    <row r="140" spans="1:3" x14ac:dyDescent="0.25">
      <c r="A140" s="158"/>
      <c r="C140" s="1"/>
    </row>
    <row r="141" spans="1:3" x14ac:dyDescent="0.25">
      <c r="A141" s="158"/>
      <c r="C141" s="1"/>
    </row>
    <row r="142" spans="1:3" x14ac:dyDescent="0.25">
      <c r="A142" s="158"/>
      <c r="C142" s="1"/>
    </row>
    <row r="143" spans="1:3" x14ac:dyDescent="0.25">
      <c r="A143" s="158"/>
      <c r="C143" s="1"/>
    </row>
    <row r="144" spans="1:3" x14ac:dyDescent="0.25">
      <c r="A144" s="158"/>
      <c r="C144" s="1"/>
    </row>
    <row r="145" spans="1:3" x14ac:dyDescent="0.25">
      <c r="A145" s="158"/>
      <c r="C145" s="1"/>
    </row>
    <row r="146" spans="1:3" x14ac:dyDescent="0.25">
      <c r="A146" s="158"/>
      <c r="C146" s="1"/>
    </row>
    <row r="147" spans="1:3" x14ac:dyDescent="0.25">
      <c r="A147" s="158"/>
      <c r="C147" s="1"/>
    </row>
    <row r="148" spans="1:3" x14ac:dyDescent="0.25">
      <c r="A148" s="158"/>
      <c r="C148" s="1"/>
    </row>
    <row r="149" spans="1:3" x14ac:dyDescent="0.25">
      <c r="A149" s="158"/>
      <c r="C149" s="1"/>
    </row>
    <row r="150" spans="1:3" x14ac:dyDescent="0.25">
      <c r="A150" s="158"/>
      <c r="C150" s="1"/>
    </row>
    <row r="151" spans="1:3" x14ac:dyDescent="0.25">
      <c r="A151" s="158"/>
      <c r="C151" s="1"/>
    </row>
    <row r="152" spans="1:3" x14ac:dyDescent="0.25">
      <c r="A152" s="158"/>
      <c r="C152" s="1"/>
    </row>
    <row r="153" spans="1:3" x14ac:dyDescent="0.25">
      <c r="A153" s="158"/>
      <c r="C153" s="1"/>
    </row>
    <row r="154" spans="1:3" x14ac:dyDescent="0.25">
      <c r="A154" s="158"/>
      <c r="C154" s="1"/>
    </row>
    <row r="155" spans="1:3" x14ac:dyDescent="0.25">
      <c r="A155" s="158"/>
      <c r="C155" s="1"/>
    </row>
    <row r="156" spans="1:3" x14ac:dyDescent="0.25">
      <c r="A156" s="158"/>
      <c r="C156" s="1"/>
    </row>
    <row r="157" spans="1:3" x14ac:dyDescent="0.25">
      <c r="A157" s="158"/>
      <c r="C157" s="1"/>
    </row>
    <row r="158" spans="1:3" x14ac:dyDescent="0.25">
      <c r="A158" s="158"/>
      <c r="C158" s="1"/>
    </row>
    <row r="159" spans="1:3" x14ac:dyDescent="0.25">
      <c r="A159" s="158"/>
      <c r="C159" s="1"/>
    </row>
    <row r="160" spans="1:3" x14ac:dyDescent="0.25">
      <c r="A160" s="158"/>
      <c r="C160" s="1"/>
    </row>
    <row r="161" spans="1:3" x14ac:dyDescent="0.25">
      <c r="A161" s="158"/>
      <c r="C161" s="1"/>
    </row>
    <row r="162" spans="1:3" x14ac:dyDescent="0.25">
      <c r="A162" s="158"/>
      <c r="C162" s="1"/>
    </row>
    <row r="163" spans="1:3" x14ac:dyDescent="0.25">
      <c r="A163" s="158"/>
      <c r="C163" s="1"/>
    </row>
    <row r="164" spans="1:3" x14ac:dyDescent="0.25">
      <c r="A164" s="158"/>
      <c r="C164" s="1"/>
    </row>
    <row r="165" spans="1:3" x14ac:dyDescent="0.25">
      <c r="A165" s="158"/>
      <c r="C165" s="1"/>
    </row>
    <row r="166" spans="1:3" x14ac:dyDescent="0.25">
      <c r="A166" s="158"/>
      <c r="C166" s="1"/>
    </row>
    <row r="167" spans="1:3" x14ac:dyDescent="0.25">
      <c r="A167" s="158"/>
      <c r="C167" s="1"/>
    </row>
    <row r="168" spans="1:3" x14ac:dyDescent="0.25">
      <c r="A168" s="158"/>
      <c r="C168" s="1"/>
    </row>
    <row r="169" spans="1:3" x14ac:dyDescent="0.25">
      <c r="A169" s="158"/>
      <c r="C169" s="1"/>
    </row>
    <row r="170" spans="1:3" x14ac:dyDescent="0.25">
      <c r="A170" s="158"/>
      <c r="C170" s="1"/>
    </row>
    <row r="171" spans="1:3" x14ac:dyDescent="0.25">
      <c r="A171" s="158"/>
      <c r="C171" s="1"/>
    </row>
    <row r="172" spans="1:3" x14ac:dyDescent="0.25">
      <c r="A172" s="158"/>
      <c r="C172" s="1"/>
    </row>
    <row r="173" spans="1:3" x14ac:dyDescent="0.25">
      <c r="A173" s="158"/>
      <c r="C173" s="1"/>
    </row>
    <row r="174" spans="1:3" x14ac:dyDescent="0.25">
      <c r="A174" s="158"/>
      <c r="C174" s="1"/>
    </row>
    <row r="175" spans="1:3" x14ac:dyDescent="0.25">
      <c r="A175" s="158"/>
      <c r="C175" s="1"/>
    </row>
    <row r="176" spans="1:3" x14ac:dyDescent="0.25">
      <c r="A176" s="158"/>
      <c r="C176" s="1"/>
    </row>
    <row r="177" spans="1:3" x14ac:dyDescent="0.25">
      <c r="A177" s="158"/>
      <c r="C177" s="1"/>
    </row>
    <row r="178" spans="1:3" x14ac:dyDescent="0.25">
      <c r="A178" s="158"/>
      <c r="C178" s="1"/>
    </row>
    <row r="179" spans="1:3" x14ac:dyDescent="0.25">
      <c r="A179" s="158"/>
      <c r="C179" s="1"/>
    </row>
    <row r="180" spans="1:3" x14ac:dyDescent="0.25">
      <c r="A180" s="158"/>
      <c r="C180" s="1"/>
    </row>
    <row r="181" spans="1:3" x14ac:dyDescent="0.25">
      <c r="A181" s="158"/>
      <c r="C181" s="1"/>
    </row>
    <row r="182" spans="1:3" x14ac:dyDescent="0.25">
      <c r="A182" s="158"/>
      <c r="C182" s="1"/>
    </row>
    <row r="183" spans="1:3" x14ac:dyDescent="0.25">
      <c r="A183" s="158"/>
      <c r="C183" s="1"/>
    </row>
    <row r="184" spans="1:3" x14ac:dyDescent="0.25">
      <c r="A184" s="158"/>
      <c r="C184" s="1"/>
    </row>
    <row r="185" spans="1:3" x14ac:dyDescent="0.25">
      <c r="A185" s="158"/>
      <c r="C185" s="1"/>
    </row>
    <row r="186" spans="1:3" x14ac:dyDescent="0.25">
      <c r="A186" s="158"/>
      <c r="C186" s="1"/>
    </row>
    <row r="187" spans="1:3" x14ac:dyDescent="0.25">
      <c r="A187" s="158"/>
      <c r="C187" s="1"/>
    </row>
    <row r="188" spans="1:3" x14ac:dyDescent="0.25">
      <c r="A188" s="158"/>
      <c r="C188" s="1"/>
    </row>
    <row r="189" spans="1:3" x14ac:dyDescent="0.25">
      <c r="A189" s="158"/>
      <c r="C189" s="1"/>
    </row>
    <row r="190" spans="1:3" x14ac:dyDescent="0.25">
      <c r="A190" s="158"/>
      <c r="C190" s="1"/>
    </row>
    <row r="191" spans="1:3" x14ac:dyDescent="0.25">
      <c r="A191" s="158"/>
      <c r="C191" s="1"/>
    </row>
    <row r="192" spans="1:3" x14ac:dyDescent="0.25">
      <c r="A192" s="158"/>
      <c r="C192" s="1"/>
    </row>
    <row r="193" spans="1:3" x14ac:dyDescent="0.25">
      <c r="A193" s="158"/>
      <c r="C193" s="1"/>
    </row>
    <row r="194" spans="1:3" x14ac:dyDescent="0.25">
      <c r="A194" s="158"/>
      <c r="C194" s="1"/>
    </row>
    <row r="195" spans="1:3" x14ac:dyDescent="0.25">
      <c r="A195" s="158"/>
      <c r="C195" s="1"/>
    </row>
    <row r="196" spans="1:3" x14ac:dyDescent="0.25">
      <c r="A196" s="158"/>
      <c r="C196" s="1"/>
    </row>
    <row r="197" spans="1:3" x14ac:dyDescent="0.25">
      <c r="A197" s="158"/>
      <c r="C197" s="1"/>
    </row>
    <row r="198" spans="1:3" x14ac:dyDescent="0.25">
      <c r="A198" s="158"/>
      <c r="C198" s="1"/>
    </row>
    <row r="199" spans="1:3" x14ac:dyDescent="0.25">
      <c r="A199" s="158"/>
      <c r="C199" s="1"/>
    </row>
    <row r="200" spans="1:3" x14ac:dyDescent="0.25">
      <c r="A200" s="158"/>
      <c r="C200" s="1"/>
    </row>
    <row r="201" spans="1:3" x14ac:dyDescent="0.25">
      <c r="A201" s="158"/>
      <c r="C201" s="1"/>
    </row>
    <row r="202" spans="1:3" x14ac:dyDescent="0.25">
      <c r="A202" s="158"/>
      <c r="C202" s="1"/>
    </row>
    <row r="203" spans="1:3" x14ac:dyDescent="0.25">
      <c r="A203" s="158"/>
      <c r="C203" s="1"/>
    </row>
    <row r="204" spans="1:3" x14ac:dyDescent="0.25">
      <c r="A204" s="158"/>
      <c r="C204" s="1"/>
    </row>
    <row r="205" spans="1:3" x14ac:dyDescent="0.25">
      <c r="A205" s="158"/>
      <c r="C205" s="1"/>
    </row>
    <row r="206" spans="1:3" x14ac:dyDescent="0.25">
      <c r="A206" s="158"/>
      <c r="C206" s="1"/>
    </row>
    <row r="207" spans="1:3" x14ac:dyDescent="0.25">
      <c r="A207" s="158"/>
      <c r="C207" s="1"/>
    </row>
    <row r="208" spans="1:3" x14ac:dyDescent="0.25">
      <c r="A208" s="158"/>
      <c r="C208" s="1"/>
    </row>
    <row r="209" spans="1:3" x14ac:dyDescent="0.25">
      <c r="A209" s="158"/>
      <c r="C209" s="1"/>
    </row>
    <row r="210" spans="1:3" x14ac:dyDescent="0.25">
      <c r="A210" s="158"/>
      <c r="C210" s="1"/>
    </row>
    <row r="211" spans="1:3" x14ac:dyDescent="0.25">
      <c r="A211" s="158"/>
      <c r="C211" s="1"/>
    </row>
    <row r="212" spans="1:3" x14ac:dyDescent="0.25">
      <c r="A212" s="158"/>
      <c r="C212" s="1"/>
    </row>
    <row r="213" spans="1:3" x14ac:dyDescent="0.25">
      <c r="A213" s="158"/>
      <c r="C213" s="1"/>
    </row>
    <row r="214" spans="1:3" x14ac:dyDescent="0.25">
      <c r="A214" s="158"/>
      <c r="C214" s="1"/>
    </row>
    <row r="215" spans="1:3" x14ac:dyDescent="0.25">
      <c r="A215" s="158"/>
      <c r="C215" s="1"/>
    </row>
    <row r="216" spans="1:3" x14ac:dyDescent="0.25">
      <c r="A216" s="158"/>
      <c r="C216" s="1"/>
    </row>
    <row r="217" spans="1:3" x14ac:dyDescent="0.25">
      <c r="A217" s="158"/>
      <c r="C217" s="1"/>
    </row>
    <row r="218" spans="1:3" x14ac:dyDescent="0.25">
      <c r="A218" s="158"/>
      <c r="C218" s="1"/>
    </row>
    <row r="219" spans="1:3" x14ac:dyDescent="0.25">
      <c r="A219" s="158"/>
      <c r="C219" s="1"/>
    </row>
    <row r="220" spans="1:3" x14ac:dyDescent="0.25">
      <c r="A220" s="158"/>
      <c r="C220" s="1"/>
    </row>
    <row r="221" spans="1:3" x14ac:dyDescent="0.25">
      <c r="A221" s="158"/>
      <c r="C221" s="1"/>
    </row>
    <row r="222" spans="1:3" x14ac:dyDescent="0.25">
      <c r="A222" s="158"/>
      <c r="C222" s="1"/>
    </row>
    <row r="223" spans="1:3" x14ac:dyDescent="0.25">
      <c r="A223" s="158"/>
      <c r="C223" s="1"/>
    </row>
    <row r="224" spans="1:3" x14ac:dyDescent="0.25">
      <c r="A224" s="158"/>
      <c r="C224" s="1"/>
    </row>
    <row r="225" spans="1:3" x14ac:dyDescent="0.25">
      <c r="A225" s="158"/>
      <c r="C225" s="1"/>
    </row>
    <row r="226" spans="1:3" x14ac:dyDescent="0.25">
      <c r="A226" s="158"/>
      <c r="C226" s="1"/>
    </row>
    <row r="227" spans="1:3" x14ac:dyDescent="0.25">
      <c r="A227" s="158"/>
      <c r="C227" s="1"/>
    </row>
    <row r="228" spans="1:3" x14ac:dyDescent="0.25">
      <c r="A228" s="158"/>
      <c r="C228" s="1"/>
    </row>
    <row r="229" spans="1:3" x14ac:dyDescent="0.25">
      <c r="A229" s="158"/>
      <c r="C229" s="1"/>
    </row>
    <row r="230" spans="1:3" x14ac:dyDescent="0.25">
      <c r="A230" s="158"/>
      <c r="C230" s="1"/>
    </row>
    <row r="231" spans="1:3" x14ac:dyDescent="0.25">
      <c r="A231" s="158"/>
      <c r="C231" s="1"/>
    </row>
    <row r="232" spans="1:3" x14ac:dyDescent="0.25">
      <c r="A232" s="158"/>
      <c r="C232" s="1"/>
    </row>
    <row r="233" spans="1:3" x14ac:dyDescent="0.25">
      <c r="A233" s="158"/>
      <c r="C233" s="1"/>
    </row>
    <row r="234" spans="1:3" x14ac:dyDescent="0.25">
      <c r="A234" s="158"/>
      <c r="C234" s="1"/>
    </row>
    <row r="235" spans="1:3" x14ac:dyDescent="0.25">
      <c r="A235" s="158"/>
      <c r="C235" s="1"/>
    </row>
    <row r="236" spans="1:3" x14ac:dyDescent="0.25">
      <c r="A236" s="158"/>
      <c r="C236" s="1"/>
    </row>
    <row r="237" spans="1:3" x14ac:dyDescent="0.25">
      <c r="A237" s="158"/>
      <c r="C237" s="1"/>
    </row>
    <row r="238" spans="1:3" x14ac:dyDescent="0.25">
      <c r="A238" s="158"/>
      <c r="C238" s="1"/>
    </row>
    <row r="239" spans="1:3" x14ac:dyDescent="0.25">
      <c r="A239" s="158"/>
      <c r="C239" s="1"/>
    </row>
    <row r="240" spans="1:3" x14ac:dyDescent="0.25">
      <c r="A240" s="158"/>
      <c r="C240" s="1"/>
    </row>
    <row r="241" spans="1:3" x14ac:dyDescent="0.25">
      <c r="A241" s="158"/>
      <c r="C241" s="1"/>
    </row>
    <row r="242" spans="1:3" x14ac:dyDescent="0.25">
      <c r="A242" s="158"/>
      <c r="C242" s="1"/>
    </row>
    <row r="243" spans="1:3" x14ac:dyDescent="0.25">
      <c r="A243" s="158"/>
      <c r="C243" s="1"/>
    </row>
    <row r="244" spans="1:3" x14ac:dyDescent="0.25">
      <c r="A244" s="158"/>
      <c r="C244" s="1"/>
    </row>
    <row r="245" spans="1:3" x14ac:dyDescent="0.25">
      <c r="A245" s="158"/>
      <c r="C245" s="1"/>
    </row>
    <row r="246" spans="1:3" x14ac:dyDescent="0.25">
      <c r="A246" s="158"/>
      <c r="C246" s="1"/>
    </row>
    <row r="247" spans="1:3" x14ac:dyDescent="0.25">
      <c r="A247" s="158"/>
      <c r="C247" s="1"/>
    </row>
    <row r="248" spans="1:3" x14ac:dyDescent="0.25">
      <c r="A248" s="158"/>
      <c r="C248" s="1"/>
    </row>
    <row r="249" spans="1:3" x14ac:dyDescent="0.25">
      <c r="A249" s="158"/>
      <c r="C249" s="1"/>
    </row>
    <row r="250" spans="1:3" x14ac:dyDescent="0.25">
      <c r="A250" s="158"/>
      <c r="C250" s="1"/>
    </row>
    <row r="251" spans="1:3" x14ac:dyDescent="0.25">
      <c r="A251" s="158"/>
      <c r="C251" s="1"/>
    </row>
    <row r="252" spans="1:3" x14ac:dyDescent="0.25">
      <c r="A252" s="158"/>
      <c r="C252" s="1"/>
    </row>
    <row r="253" spans="1:3" x14ac:dyDescent="0.25">
      <c r="A253" s="158"/>
      <c r="C253" s="1"/>
    </row>
    <row r="254" spans="1:3" x14ac:dyDescent="0.25">
      <c r="A254" s="158"/>
      <c r="C254" s="1"/>
    </row>
    <row r="255" spans="1:3" x14ac:dyDescent="0.25">
      <c r="A255" s="158"/>
      <c r="C255" s="1"/>
    </row>
    <row r="256" spans="1:3" x14ac:dyDescent="0.25">
      <c r="A256" s="158"/>
      <c r="C256" s="1"/>
    </row>
    <row r="257" spans="1:3" x14ac:dyDescent="0.25">
      <c r="A257" s="158"/>
      <c r="C257" s="1"/>
    </row>
    <row r="258" spans="1:3" x14ac:dyDescent="0.25">
      <c r="A258" s="158"/>
      <c r="C258" s="1"/>
    </row>
    <row r="259" spans="1:3" x14ac:dyDescent="0.25">
      <c r="A259" s="158"/>
      <c r="C259" s="1"/>
    </row>
    <row r="260" spans="1:3" x14ac:dyDescent="0.25">
      <c r="A260" s="158"/>
      <c r="C260" s="1"/>
    </row>
    <row r="261" spans="1:3" x14ac:dyDescent="0.25">
      <c r="A261" s="158"/>
      <c r="C261" s="1"/>
    </row>
    <row r="262" spans="1:3" x14ac:dyDescent="0.25">
      <c r="A262" s="158"/>
      <c r="C262" s="1"/>
    </row>
    <row r="263" spans="1:3" x14ac:dyDescent="0.25">
      <c r="A263" s="158"/>
      <c r="C263" s="1"/>
    </row>
    <row r="264" spans="1:3" x14ac:dyDescent="0.25">
      <c r="A264" s="158"/>
      <c r="C264" s="1"/>
    </row>
    <row r="265" spans="1:3" x14ac:dyDescent="0.25">
      <c r="A265" s="158"/>
      <c r="C265" s="1"/>
    </row>
    <row r="266" spans="1:3" x14ac:dyDescent="0.25">
      <c r="A266" s="158"/>
      <c r="C266" s="1"/>
    </row>
    <row r="267" spans="1:3" x14ac:dyDescent="0.25">
      <c r="A267" s="158"/>
      <c r="C267" s="1"/>
    </row>
    <row r="268" spans="1:3" x14ac:dyDescent="0.25">
      <c r="A268" s="158"/>
      <c r="C268" s="1"/>
    </row>
    <row r="269" spans="1:3" x14ac:dyDescent="0.25">
      <c r="A269" s="158"/>
      <c r="C269" s="1"/>
    </row>
    <row r="270" spans="1:3" x14ac:dyDescent="0.25">
      <c r="A270" s="158"/>
      <c r="C270" s="1"/>
    </row>
    <row r="271" spans="1:3" x14ac:dyDescent="0.25">
      <c r="A271" s="158"/>
      <c r="C271" s="1"/>
    </row>
    <row r="272" spans="1:3" x14ac:dyDescent="0.25">
      <c r="A272" s="158"/>
      <c r="C27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L92"/>
  <sheetViews>
    <sheetView zoomScale="130" zoomScaleNormal="130" workbookViewId="0">
      <selection activeCell="A11" sqref="A11:XFD11"/>
    </sheetView>
  </sheetViews>
  <sheetFormatPr defaultRowHeight="15" x14ac:dyDescent="0.25"/>
  <cols>
    <col min="1" max="1" width="12.42578125" style="17" customWidth="1"/>
    <col min="2" max="2" width="10.85546875" customWidth="1"/>
    <col min="3" max="3" width="9.42578125" style="144" customWidth="1"/>
    <col min="4" max="4" width="67.42578125" customWidth="1"/>
    <col min="5" max="5" width="28.140625" customWidth="1"/>
    <col min="6" max="6" width="33" customWidth="1"/>
    <col min="7" max="7" width="21.140625" customWidth="1"/>
    <col min="8" max="8" width="15.42578125" customWidth="1"/>
    <col min="9" max="9" width="31.42578125" customWidth="1"/>
    <col min="257" max="257" width="12.42578125" customWidth="1"/>
    <col min="258" max="258" width="10.85546875" customWidth="1"/>
    <col min="259" max="259" width="9.42578125" customWidth="1"/>
    <col min="260" max="260" width="67.42578125" customWidth="1"/>
    <col min="261" max="261" width="28.140625" customWidth="1"/>
    <col min="262" max="262" width="33" customWidth="1"/>
    <col min="263" max="263" width="21.140625" customWidth="1"/>
    <col min="264" max="264" width="15.42578125" customWidth="1"/>
    <col min="265" max="265" width="31.42578125" customWidth="1"/>
    <col min="513" max="513" width="12.42578125" customWidth="1"/>
    <col min="514" max="514" width="10.85546875" customWidth="1"/>
    <col min="515" max="515" width="9.42578125" customWidth="1"/>
    <col min="516" max="516" width="67.42578125" customWidth="1"/>
    <col min="517" max="517" width="28.140625" customWidth="1"/>
    <col min="518" max="518" width="33" customWidth="1"/>
    <col min="519" max="519" width="21.140625" customWidth="1"/>
    <col min="520" max="520" width="15.42578125" customWidth="1"/>
    <col min="521" max="521" width="31.42578125" customWidth="1"/>
    <col min="769" max="769" width="12.42578125" customWidth="1"/>
    <col min="770" max="770" width="10.85546875" customWidth="1"/>
    <col min="771" max="771" width="9.42578125" customWidth="1"/>
    <col min="772" max="772" width="67.42578125" customWidth="1"/>
    <col min="773" max="773" width="28.140625" customWidth="1"/>
    <col min="774" max="774" width="33" customWidth="1"/>
    <col min="775" max="775" width="21.140625" customWidth="1"/>
    <col min="776" max="776" width="15.42578125" customWidth="1"/>
    <col min="777" max="777" width="31.42578125" customWidth="1"/>
    <col min="1025" max="1025" width="12.42578125" customWidth="1"/>
    <col min="1026" max="1026" width="10.85546875" customWidth="1"/>
    <col min="1027" max="1027" width="9.42578125" customWidth="1"/>
    <col min="1028" max="1028" width="67.42578125" customWidth="1"/>
    <col min="1029" max="1029" width="28.140625" customWidth="1"/>
    <col min="1030" max="1030" width="33" customWidth="1"/>
    <col min="1031" max="1031" width="21.140625" customWidth="1"/>
    <col min="1032" max="1032" width="15.42578125" customWidth="1"/>
    <col min="1033" max="1033" width="31.42578125" customWidth="1"/>
    <col min="1281" max="1281" width="12.42578125" customWidth="1"/>
    <col min="1282" max="1282" width="10.85546875" customWidth="1"/>
    <col min="1283" max="1283" width="9.42578125" customWidth="1"/>
    <col min="1284" max="1284" width="67.42578125" customWidth="1"/>
    <col min="1285" max="1285" width="28.140625" customWidth="1"/>
    <col min="1286" max="1286" width="33" customWidth="1"/>
    <col min="1287" max="1287" width="21.140625" customWidth="1"/>
    <col min="1288" max="1288" width="15.42578125" customWidth="1"/>
    <col min="1289" max="1289" width="31.42578125" customWidth="1"/>
    <col min="1537" max="1537" width="12.42578125" customWidth="1"/>
    <col min="1538" max="1538" width="10.85546875" customWidth="1"/>
    <col min="1539" max="1539" width="9.42578125" customWidth="1"/>
    <col min="1540" max="1540" width="67.42578125" customWidth="1"/>
    <col min="1541" max="1541" width="28.140625" customWidth="1"/>
    <col min="1542" max="1542" width="33" customWidth="1"/>
    <col min="1543" max="1543" width="21.140625" customWidth="1"/>
    <col min="1544" max="1544" width="15.42578125" customWidth="1"/>
    <col min="1545" max="1545" width="31.42578125" customWidth="1"/>
    <col min="1793" max="1793" width="12.42578125" customWidth="1"/>
    <col min="1794" max="1794" width="10.85546875" customWidth="1"/>
    <col min="1795" max="1795" width="9.42578125" customWidth="1"/>
    <col min="1796" max="1796" width="67.42578125" customWidth="1"/>
    <col min="1797" max="1797" width="28.140625" customWidth="1"/>
    <col min="1798" max="1798" width="33" customWidth="1"/>
    <col min="1799" max="1799" width="21.140625" customWidth="1"/>
    <col min="1800" max="1800" width="15.42578125" customWidth="1"/>
    <col min="1801" max="1801" width="31.42578125" customWidth="1"/>
    <col min="2049" max="2049" width="12.42578125" customWidth="1"/>
    <col min="2050" max="2050" width="10.85546875" customWidth="1"/>
    <col min="2051" max="2051" width="9.42578125" customWidth="1"/>
    <col min="2052" max="2052" width="67.42578125" customWidth="1"/>
    <col min="2053" max="2053" width="28.140625" customWidth="1"/>
    <col min="2054" max="2054" width="33" customWidth="1"/>
    <col min="2055" max="2055" width="21.140625" customWidth="1"/>
    <col min="2056" max="2056" width="15.42578125" customWidth="1"/>
    <col min="2057" max="2057" width="31.42578125" customWidth="1"/>
    <col min="2305" max="2305" width="12.42578125" customWidth="1"/>
    <col min="2306" max="2306" width="10.85546875" customWidth="1"/>
    <col min="2307" max="2307" width="9.42578125" customWidth="1"/>
    <col min="2308" max="2308" width="67.42578125" customWidth="1"/>
    <col min="2309" max="2309" width="28.140625" customWidth="1"/>
    <col min="2310" max="2310" width="33" customWidth="1"/>
    <col min="2311" max="2311" width="21.140625" customWidth="1"/>
    <col min="2312" max="2312" width="15.42578125" customWidth="1"/>
    <col min="2313" max="2313" width="31.42578125" customWidth="1"/>
    <col min="2561" max="2561" width="12.42578125" customWidth="1"/>
    <col min="2562" max="2562" width="10.85546875" customWidth="1"/>
    <col min="2563" max="2563" width="9.42578125" customWidth="1"/>
    <col min="2564" max="2564" width="67.42578125" customWidth="1"/>
    <col min="2565" max="2565" width="28.140625" customWidth="1"/>
    <col min="2566" max="2566" width="33" customWidth="1"/>
    <col min="2567" max="2567" width="21.140625" customWidth="1"/>
    <col min="2568" max="2568" width="15.42578125" customWidth="1"/>
    <col min="2569" max="2569" width="31.42578125" customWidth="1"/>
    <col min="2817" max="2817" width="12.42578125" customWidth="1"/>
    <col min="2818" max="2818" width="10.85546875" customWidth="1"/>
    <col min="2819" max="2819" width="9.42578125" customWidth="1"/>
    <col min="2820" max="2820" width="67.42578125" customWidth="1"/>
    <col min="2821" max="2821" width="28.140625" customWidth="1"/>
    <col min="2822" max="2822" width="33" customWidth="1"/>
    <col min="2823" max="2823" width="21.140625" customWidth="1"/>
    <col min="2824" max="2824" width="15.42578125" customWidth="1"/>
    <col min="2825" max="2825" width="31.42578125" customWidth="1"/>
    <col min="3073" max="3073" width="12.42578125" customWidth="1"/>
    <col min="3074" max="3074" width="10.85546875" customWidth="1"/>
    <col min="3075" max="3075" width="9.42578125" customWidth="1"/>
    <col min="3076" max="3076" width="67.42578125" customWidth="1"/>
    <col min="3077" max="3077" width="28.140625" customWidth="1"/>
    <col min="3078" max="3078" width="33" customWidth="1"/>
    <col min="3079" max="3079" width="21.140625" customWidth="1"/>
    <col min="3080" max="3080" width="15.42578125" customWidth="1"/>
    <col min="3081" max="3081" width="31.42578125" customWidth="1"/>
    <col min="3329" max="3329" width="12.42578125" customWidth="1"/>
    <col min="3330" max="3330" width="10.85546875" customWidth="1"/>
    <col min="3331" max="3331" width="9.42578125" customWidth="1"/>
    <col min="3332" max="3332" width="67.42578125" customWidth="1"/>
    <col min="3333" max="3333" width="28.140625" customWidth="1"/>
    <col min="3334" max="3334" width="33" customWidth="1"/>
    <col min="3335" max="3335" width="21.140625" customWidth="1"/>
    <col min="3336" max="3336" width="15.42578125" customWidth="1"/>
    <col min="3337" max="3337" width="31.42578125" customWidth="1"/>
    <col min="3585" max="3585" width="12.42578125" customWidth="1"/>
    <col min="3586" max="3586" width="10.85546875" customWidth="1"/>
    <col min="3587" max="3587" width="9.42578125" customWidth="1"/>
    <col min="3588" max="3588" width="67.42578125" customWidth="1"/>
    <col min="3589" max="3589" width="28.140625" customWidth="1"/>
    <col min="3590" max="3590" width="33" customWidth="1"/>
    <col min="3591" max="3591" width="21.140625" customWidth="1"/>
    <col min="3592" max="3592" width="15.42578125" customWidth="1"/>
    <col min="3593" max="3593" width="31.42578125" customWidth="1"/>
    <col min="3841" max="3841" width="12.42578125" customWidth="1"/>
    <col min="3842" max="3842" width="10.85546875" customWidth="1"/>
    <col min="3843" max="3843" width="9.42578125" customWidth="1"/>
    <col min="3844" max="3844" width="67.42578125" customWidth="1"/>
    <col min="3845" max="3845" width="28.140625" customWidth="1"/>
    <col min="3846" max="3846" width="33" customWidth="1"/>
    <col min="3847" max="3847" width="21.140625" customWidth="1"/>
    <col min="3848" max="3848" width="15.42578125" customWidth="1"/>
    <col min="3849" max="3849" width="31.42578125" customWidth="1"/>
    <col min="4097" max="4097" width="12.42578125" customWidth="1"/>
    <col min="4098" max="4098" width="10.85546875" customWidth="1"/>
    <col min="4099" max="4099" width="9.42578125" customWidth="1"/>
    <col min="4100" max="4100" width="67.42578125" customWidth="1"/>
    <col min="4101" max="4101" width="28.140625" customWidth="1"/>
    <col min="4102" max="4102" width="33" customWidth="1"/>
    <col min="4103" max="4103" width="21.140625" customWidth="1"/>
    <col min="4104" max="4104" width="15.42578125" customWidth="1"/>
    <col min="4105" max="4105" width="31.42578125" customWidth="1"/>
    <col min="4353" max="4353" width="12.42578125" customWidth="1"/>
    <col min="4354" max="4354" width="10.85546875" customWidth="1"/>
    <col min="4355" max="4355" width="9.42578125" customWidth="1"/>
    <col min="4356" max="4356" width="67.42578125" customWidth="1"/>
    <col min="4357" max="4357" width="28.140625" customWidth="1"/>
    <col min="4358" max="4358" width="33" customWidth="1"/>
    <col min="4359" max="4359" width="21.140625" customWidth="1"/>
    <col min="4360" max="4360" width="15.42578125" customWidth="1"/>
    <col min="4361" max="4361" width="31.42578125" customWidth="1"/>
    <col min="4609" max="4609" width="12.42578125" customWidth="1"/>
    <col min="4610" max="4610" width="10.85546875" customWidth="1"/>
    <col min="4611" max="4611" width="9.42578125" customWidth="1"/>
    <col min="4612" max="4612" width="67.42578125" customWidth="1"/>
    <col min="4613" max="4613" width="28.140625" customWidth="1"/>
    <col min="4614" max="4614" width="33" customWidth="1"/>
    <col min="4615" max="4615" width="21.140625" customWidth="1"/>
    <col min="4616" max="4616" width="15.42578125" customWidth="1"/>
    <col min="4617" max="4617" width="31.42578125" customWidth="1"/>
    <col min="4865" max="4865" width="12.42578125" customWidth="1"/>
    <col min="4866" max="4866" width="10.85546875" customWidth="1"/>
    <col min="4867" max="4867" width="9.42578125" customWidth="1"/>
    <col min="4868" max="4868" width="67.42578125" customWidth="1"/>
    <col min="4869" max="4869" width="28.140625" customWidth="1"/>
    <col min="4870" max="4870" width="33" customWidth="1"/>
    <col min="4871" max="4871" width="21.140625" customWidth="1"/>
    <col min="4872" max="4872" width="15.42578125" customWidth="1"/>
    <col min="4873" max="4873" width="31.42578125" customWidth="1"/>
    <col min="5121" max="5121" width="12.42578125" customWidth="1"/>
    <col min="5122" max="5122" width="10.85546875" customWidth="1"/>
    <col min="5123" max="5123" width="9.42578125" customWidth="1"/>
    <col min="5124" max="5124" width="67.42578125" customWidth="1"/>
    <col min="5125" max="5125" width="28.140625" customWidth="1"/>
    <col min="5126" max="5126" width="33" customWidth="1"/>
    <col min="5127" max="5127" width="21.140625" customWidth="1"/>
    <col min="5128" max="5128" width="15.42578125" customWidth="1"/>
    <col min="5129" max="5129" width="31.42578125" customWidth="1"/>
    <col min="5377" max="5377" width="12.42578125" customWidth="1"/>
    <col min="5378" max="5378" width="10.85546875" customWidth="1"/>
    <col min="5379" max="5379" width="9.42578125" customWidth="1"/>
    <col min="5380" max="5380" width="67.42578125" customWidth="1"/>
    <col min="5381" max="5381" width="28.140625" customWidth="1"/>
    <col min="5382" max="5382" width="33" customWidth="1"/>
    <col min="5383" max="5383" width="21.140625" customWidth="1"/>
    <col min="5384" max="5384" width="15.42578125" customWidth="1"/>
    <col min="5385" max="5385" width="31.42578125" customWidth="1"/>
    <col min="5633" max="5633" width="12.42578125" customWidth="1"/>
    <col min="5634" max="5634" width="10.85546875" customWidth="1"/>
    <col min="5635" max="5635" width="9.42578125" customWidth="1"/>
    <col min="5636" max="5636" width="67.42578125" customWidth="1"/>
    <col min="5637" max="5637" width="28.140625" customWidth="1"/>
    <col min="5638" max="5638" width="33" customWidth="1"/>
    <col min="5639" max="5639" width="21.140625" customWidth="1"/>
    <col min="5640" max="5640" width="15.42578125" customWidth="1"/>
    <col min="5641" max="5641" width="31.42578125" customWidth="1"/>
    <col min="5889" max="5889" width="12.42578125" customWidth="1"/>
    <col min="5890" max="5890" width="10.85546875" customWidth="1"/>
    <col min="5891" max="5891" width="9.42578125" customWidth="1"/>
    <col min="5892" max="5892" width="67.42578125" customWidth="1"/>
    <col min="5893" max="5893" width="28.140625" customWidth="1"/>
    <col min="5894" max="5894" width="33" customWidth="1"/>
    <col min="5895" max="5895" width="21.140625" customWidth="1"/>
    <col min="5896" max="5896" width="15.42578125" customWidth="1"/>
    <col min="5897" max="5897" width="31.42578125" customWidth="1"/>
    <col min="6145" max="6145" width="12.42578125" customWidth="1"/>
    <col min="6146" max="6146" width="10.85546875" customWidth="1"/>
    <col min="6147" max="6147" width="9.42578125" customWidth="1"/>
    <col min="6148" max="6148" width="67.42578125" customWidth="1"/>
    <col min="6149" max="6149" width="28.140625" customWidth="1"/>
    <col min="6150" max="6150" width="33" customWidth="1"/>
    <col min="6151" max="6151" width="21.140625" customWidth="1"/>
    <col min="6152" max="6152" width="15.42578125" customWidth="1"/>
    <col min="6153" max="6153" width="31.42578125" customWidth="1"/>
    <col min="6401" max="6401" width="12.42578125" customWidth="1"/>
    <col min="6402" max="6402" width="10.85546875" customWidth="1"/>
    <col min="6403" max="6403" width="9.42578125" customWidth="1"/>
    <col min="6404" max="6404" width="67.42578125" customWidth="1"/>
    <col min="6405" max="6405" width="28.140625" customWidth="1"/>
    <col min="6406" max="6406" width="33" customWidth="1"/>
    <col min="6407" max="6407" width="21.140625" customWidth="1"/>
    <col min="6408" max="6408" width="15.42578125" customWidth="1"/>
    <col min="6409" max="6409" width="31.42578125" customWidth="1"/>
    <col min="6657" max="6657" width="12.42578125" customWidth="1"/>
    <col min="6658" max="6658" width="10.85546875" customWidth="1"/>
    <col min="6659" max="6659" width="9.42578125" customWidth="1"/>
    <col min="6660" max="6660" width="67.42578125" customWidth="1"/>
    <col min="6661" max="6661" width="28.140625" customWidth="1"/>
    <col min="6662" max="6662" width="33" customWidth="1"/>
    <col min="6663" max="6663" width="21.140625" customWidth="1"/>
    <col min="6664" max="6664" width="15.42578125" customWidth="1"/>
    <col min="6665" max="6665" width="31.42578125" customWidth="1"/>
    <col min="6913" max="6913" width="12.42578125" customWidth="1"/>
    <col min="6914" max="6914" width="10.85546875" customWidth="1"/>
    <col min="6915" max="6915" width="9.42578125" customWidth="1"/>
    <col min="6916" max="6916" width="67.42578125" customWidth="1"/>
    <col min="6917" max="6917" width="28.140625" customWidth="1"/>
    <col min="6918" max="6918" width="33" customWidth="1"/>
    <col min="6919" max="6919" width="21.140625" customWidth="1"/>
    <col min="6920" max="6920" width="15.42578125" customWidth="1"/>
    <col min="6921" max="6921" width="31.42578125" customWidth="1"/>
    <col min="7169" max="7169" width="12.42578125" customWidth="1"/>
    <col min="7170" max="7170" width="10.85546875" customWidth="1"/>
    <col min="7171" max="7171" width="9.42578125" customWidth="1"/>
    <col min="7172" max="7172" width="67.42578125" customWidth="1"/>
    <col min="7173" max="7173" width="28.140625" customWidth="1"/>
    <col min="7174" max="7174" width="33" customWidth="1"/>
    <col min="7175" max="7175" width="21.140625" customWidth="1"/>
    <col min="7176" max="7176" width="15.42578125" customWidth="1"/>
    <col min="7177" max="7177" width="31.42578125" customWidth="1"/>
    <col min="7425" max="7425" width="12.42578125" customWidth="1"/>
    <col min="7426" max="7426" width="10.85546875" customWidth="1"/>
    <col min="7427" max="7427" width="9.42578125" customWidth="1"/>
    <col min="7428" max="7428" width="67.42578125" customWidth="1"/>
    <col min="7429" max="7429" width="28.140625" customWidth="1"/>
    <col min="7430" max="7430" width="33" customWidth="1"/>
    <col min="7431" max="7431" width="21.140625" customWidth="1"/>
    <col min="7432" max="7432" width="15.42578125" customWidth="1"/>
    <col min="7433" max="7433" width="31.42578125" customWidth="1"/>
    <col min="7681" max="7681" width="12.42578125" customWidth="1"/>
    <col min="7682" max="7682" width="10.85546875" customWidth="1"/>
    <col min="7683" max="7683" width="9.42578125" customWidth="1"/>
    <col min="7684" max="7684" width="67.42578125" customWidth="1"/>
    <col min="7685" max="7685" width="28.140625" customWidth="1"/>
    <col min="7686" max="7686" width="33" customWidth="1"/>
    <col min="7687" max="7687" width="21.140625" customWidth="1"/>
    <col min="7688" max="7688" width="15.42578125" customWidth="1"/>
    <col min="7689" max="7689" width="31.42578125" customWidth="1"/>
    <col min="7937" max="7937" width="12.42578125" customWidth="1"/>
    <col min="7938" max="7938" width="10.85546875" customWidth="1"/>
    <col min="7939" max="7939" width="9.42578125" customWidth="1"/>
    <col min="7940" max="7940" width="67.42578125" customWidth="1"/>
    <col min="7941" max="7941" width="28.140625" customWidth="1"/>
    <col min="7942" max="7942" width="33" customWidth="1"/>
    <col min="7943" max="7943" width="21.140625" customWidth="1"/>
    <col min="7944" max="7944" width="15.42578125" customWidth="1"/>
    <col min="7945" max="7945" width="31.42578125" customWidth="1"/>
    <col min="8193" max="8193" width="12.42578125" customWidth="1"/>
    <col min="8194" max="8194" width="10.85546875" customWidth="1"/>
    <col min="8195" max="8195" width="9.42578125" customWidth="1"/>
    <col min="8196" max="8196" width="67.42578125" customWidth="1"/>
    <col min="8197" max="8197" width="28.140625" customWidth="1"/>
    <col min="8198" max="8198" width="33" customWidth="1"/>
    <col min="8199" max="8199" width="21.140625" customWidth="1"/>
    <col min="8200" max="8200" width="15.42578125" customWidth="1"/>
    <col min="8201" max="8201" width="31.42578125" customWidth="1"/>
    <col min="8449" max="8449" width="12.42578125" customWidth="1"/>
    <col min="8450" max="8450" width="10.85546875" customWidth="1"/>
    <col min="8451" max="8451" width="9.42578125" customWidth="1"/>
    <col min="8452" max="8452" width="67.42578125" customWidth="1"/>
    <col min="8453" max="8453" width="28.140625" customWidth="1"/>
    <col min="8454" max="8454" width="33" customWidth="1"/>
    <col min="8455" max="8455" width="21.140625" customWidth="1"/>
    <col min="8456" max="8456" width="15.42578125" customWidth="1"/>
    <col min="8457" max="8457" width="31.42578125" customWidth="1"/>
    <col min="8705" max="8705" width="12.42578125" customWidth="1"/>
    <col min="8706" max="8706" width="10.85546875" customWidth="1"/>
    <col min="8707" max="8707" width="9.42578125" customWidth="1"/>
    <col min="8708" max="8708" width="67.42578125" customWidth="1"/>
    <col min="8709" max="8709" width="28.140625" customWidth="1"/>
    <col min="8710" max="8710" width="33" customWidth="1"/>
    <col min="8711" max="8711" width="21.140625" customWidth="1"/>
    <col min="8712" max="8712" width="15.42578125" customWidth="1"/>
    <col min="8713" max="8713" width="31.42578125" customWidth="1"/>
    <col min="8961" max="8961" width="12.42578125" customWidth="1"/>
    <col min="8962" max="8962" width="10.85546875" customWidth="1"/>
    <col min="8963" max="8963" width="9.42578125" customWidth="1"/>
    <col min="8964" max="8964" width="67.42578125" customWidth="1"/>
    <col min="8965" max="8965" width="28.140625" customWidth="1"/>
    <col min="8966" max="8966" width="33" customWidth="1"/>
    <col min="8967" max="8967" width="21.140625" customWidth="1"/>
    <col min="8968" max="8968" width="15.42578125" customWidth="1"/>
    <col min="8969" max="8969" width="31.42578125" customWidth="1"/>
    <col min="9217" max="9217" width="12.42578125" customWidth="1"/>
    <col min="9218" max="9218" width="10.85546875" customWidth="1"/>
    <col min="9219" max="9219" width="9.42578125" customWidth="1"/>
    <col min="9220" max="9220" width="67.42578125" customWidth="1"/>
    <col min="9221" max="9221" width="28.140625" customWidth="1"/>
    <col min="9222" max="9222" width="33" customWidth="1"/>
    <col min="9223" max="9223" width="21.140625" customWidth="1"/>
    <col min="9224" max="9224" width="15.42578125" customWidth="1"/>
    <col min="9225" max="9225" width="31.42578125" customWidth="1"/>
    <col min="9473" max="9473" width="12.42578125" customWidth="1"/>
    <col min="9474" max="9474" width="10.85546875" customWidth="1"/>
    <col min="9475" max="9475" width="9.42578125" customWidth="1"/>
    <col min="9476" max="9476" width="67.42578125" customWidth="1"/>
    <col min="9477" max="9477" width="28.140625" customWidth="1"/>
    <col min="9478" max="9478" width="33" customWidth="1"/>
    <col min="9479" max="9479" width="21.140625" customWidth="1"/>
    <col min="9480" max="9480" width="15.42578125" customWidth="1"/>
    <col min="9481" max="9481" width="31.42578125" customWidth="1"/>
    <col min="9729" max="9729" width="12.42578125" customWidth="1"/>
    <col min="9730" max="9730" width="10.85546875" customWidth="1"/>
    <col min="9731" max="9731" width="9.42578125" customWidth="1"/>
    <col min="9732" max="9732" width="67.42578125" customWidth="1"/>
    <col min="9733" max="9733" width="28.140625" customWidth="1"/>
    <col min="9734" max="9734" width="33" customWidth="1"/>
    <col min="9735" max="9735" width="21.140625" customWidth="1"/>
    <col min="9736" max="9736" width="15.42578125" customWidth="1"/>
    <col min="9737" max="9737" width="31.42578125" customWidth="1"/>
    <col min="9985" max="9985" width="12.42578125" customWidth="1"/>
    <col min="9986" max="9986" width="10.85546875" customWidth="1"/>
    <col min="9987" max="9987" width="9.42578125" customWidth="1"/>
    <col min="9988" max="9988" width="67.42578125" customWidth="1"/>
    <col min="9989" max="9989" width="28.140625" customWidth="1"/>
    <col min="9990" max="9990" width="33" customWidth="1"/>
    <col min="9991" max="9991" width="21.140625" customWidth="1"/>
    <col min="9992" max="9992" width="15.42578125" customWidth="1"/>
    <col min="9993" max="9993" width="31.42578125" customWidth="1"/>
    <col min="10241" max="10241" width="12.42578125" customWidth="1"/>
    <col min="10242" max="10242" width="10.85546875" customWidth="1"/>
    <col min="10243" max="10243" width="9.42578125" customWidth="1"/>
    <col min="10244" max="10244" width="67.42578125" customWidth="1"/>
    <col min="10245" max="10245" width="28.140625" customWidth="1"/>
    <col min="10246" max="10246" width="33" customWidth="1"/>
    <col min="10247" max="10247" width="21.140625" customWidth="1"/>
    <col min="10248" max="10248" width="15.42578125" customWidth="1"/>
    <col min="10249" max="10249" width="31.42578125" customWidth="1"/>
    <col min="10497" max="10497" width="12.42578125" customWidth="1"/>
    <col min="10498" max="10498" width="10.85546875" customWidth="1"/>
    <col min="10499" max="10499" width="9.42578125" customWidth="1"/>
    <col min="10500" max="10500" width="67.42578125" customWidth="1"/>
    <col min="10501" max="10501" width="28.140625" customWidth="1"/>
    <col min="10502" max="10502" width="33" customWidth="1"/>
    <col min="10503" max="10503" width="21.140625" customWidth="1"/>
    <col min="10504" max="10504" width="15.42578125" customWidth="1"/>
    <col min="10505" max="10505" width="31.42578125" customWidth="1"/>
    <col min="10753" max="10753" width="12.42578125" customWidth="1"/>
    <col min="10754" max="10754" width="10.85546875" customWidth="1"/>
    <col min="10755" max="10755" width="9.42578125" customWidth="1"/>
    <col min="10756" max="10756" width="67.42578125" customWidth="1"/>
    <col min="10757" max="10757" width="28.140625" customWidth="1"/>
    <col min="10758" max="10758" width="33" customWidth="1"/>
    <col min="10759" max="10759" width="21.140625" customWidth="1"/>
    <col min="10760" max="10760" width="15.42578125" customWidth="1"/>
    <col min="10761" max="10761" width="31.42578125" customWidth="1"/>
    <col min="11009" max="11009" width="12.42578125" customWidth="1"/>
    <col min="11010" max="11010" width="10.85546875" customWidth="1"/>
    <col min="11011" max="11011" width="9.42578125" customWidth="1"/>
    <col min="11012" max="11012" width="67.42578125" customWidth="1"/>
    <col min="11013" max="11013" width="28.140625" customWidth="1"/>
    <col min="11014" max="11014" width="33" customWidth="1"/>
    <col min="11015" max="11015" width="21.140625" customWidth="1"/>
    <col min="11016" max="11016" width="15.42578125" customWidth="1"/>
    <col min="11017" max="11017" width="31.42578125" customWidth="1"/>
    <col min="11265" max="11265" width="12.42578125" customWidth="1"/>
    <col min="11266" max="11266" width="10.85546875" customWidth="1"/>
    <col min="11267" max="11267" width="9.42578125" customWidth="1"/>
    <col min="11268" max="11268" width="67.42578125" customWidth="1"/>
    <col min="11269" max="11269" width="28.140625" customWidth="1"/>
    <col min="11270" max="11270" width="33" customWidth="1"/>
    <col min="11271" max="11271" width="21.140625" customWidth="1"/>
    <col min="11272" max="11272" width="15.42578125" customWidth="1"/>
    <col min="11273" max="11273" width="31.42578125" customWidth="1"/>
    <col min="11521" max="11521" width="12.42578125" customWidth="1"/>
    <col min="11522" max="11522" width="10.85546875" customWidth="1"/>
    <col min="11523" max="11523" width="9.42578125" customWidth="1"/>
    <col min="11524" max="11524" width="67.42578125" customWidth="1"/>
    <col min="11525" max="11525" width="28.140625" customWidth="1"/>
    <col min="11526" max="11526" width="33" customWidth="1"/>
    <col min="11527" max="11527" width="21.140625" customWidth="1"/>
    <col min="11528" max="11528" width="15.42578125" customWidth="1"/>
    <col min="11529" max="11529" width="31.42578125" customWidth="1"/>
    <col min="11777" max="11777" width="12.42578125" customWidth="1"/>
    <col min="11778" max="11778" width="10.85546875" customWidth="1"/>
    <col min="11779" max="11779" width="9.42578125" customWidth="1"/>
    <col min="11780" max="11780" width="67.42578125" customWidth="1"/>
    <col min="11781" max="11781" width="28.140625" customWidth="1"/>
    <col min="11782" max="11782" width="33" customWidth="1"/>
    <col min="11783" max="11783" width="21.140625" customWidth="1"/>
    <col min="11784" max="11784" width="15.42578125" customWidth="1"/>
    <col min="11785" max="11785" width="31.42578125" customWidth="1"/>
    <col min="12033" max="12033" width="12.42578125" customWidth="1"/>
    <col min="12034" max="12034" width="10.85546875" customWidth="1"/>
    <col min="12035" max="12035" width="9.42578125" customWidth="1"/>
    <col min="12036" max="12036" width="67.42578125" customWidth="1"/>
    <col min="12037" max="12037" width="28.140625" customWidth="1"/>
    <col min="12038" max="12038" width="33" customWidth="1"/>
    <col min="12039" max="12039" width="21.140625" customWidth="1"/>
    <col min="12040" max="12040" width="15.42578125" customWidth="1"/>
    <col min="12041" max="12041" width="31.42578125" customWidth="1"/>
    <col min="12289" max="12289" width="12.42578125" customWidth="1"/>
    <col min="12290" max="12290" width="10.85546875" customWidth="1"/>
    <col min="12291" max="12291" width="9.42578125" customWidth="1"/>
    <col min="12292" max="12292" width="67.42578125" customWidth="1"/>
    <col min="12293" max="12293" width="28.140625" customWidth="1"/>
    <col min="12294" max="12294" width="33" customWidth="1"/>
    <col min="12295" max="12295" width="21.140625" customWidth="1"/>
    <col min="12296" max="12296" width="15.42578125" customWidth="1"/>
    <col min="12297" max="12297" width="31.42578125" customWidth="1"/>
    <col min="12545" max="12545" width="12.42578125" customWidth="1"/>
    <col min="12546" max="12546" width="10.85546875" customWidth="1"/>
    <col min="12547" max="12547" width="9.42578125" customWidth="1"/>
    <col min="12548" max="12548" width="67.42578125" customWidth="1"/>
    <col min="12549" max="12549" width="28.140625" customWidth="1"/>
    <col min="12550" max="12550" width="33" customWidth="1"/>
    <col min="12551" max="12551" width="21.140625" customWidth="1"/>
    <col min="12552" max="12552" width="15.42578125" customWidth="1"/>
    <col min="12553" max="12553" width="31.42578125" customWidth="1"/>
    <col min="12801" max="12801" width="12.42578125" customWidth="1"/>
    <col min="12802" max="12802" width="10.85546875" customWidth="1"/>
    <col min="12803" max="12803" width="9.42578125" customWidth="1"/>
    <col min="12804" max="12804" width="67.42578125" customWidth="1"/>
    <col min="12805" max="12805" width="28.140625" customWidth="1"/>
    <col min="12806" max="12806" width="33" customWidth="1"/>
    <col min="12807" max="12807" width="21.140625" customWidth="1"/>
    <col min="12808" max="12808" width="15.42578125" customWidth="1"/>
    <col min="12809" max="12809" width="31.42578125" customWidth="1"/>
    <col min="13057" max="13057" width="12.42578125" customWidth="1"/>
    <col min="13058" max="13058" width="10.85546875" customWidth="1"/>
    <col min="13059" max="13059" width="9.42578125" customWidth="1"/>
    <col min="13060" max="13060" width="67.42578125" customWidth="1"/>
    <col min="13061" max="13061" width="28.140625" customWidth="1"/>
    <col min="13062" max="13062" width="33" customWidth="1"/>
    <col min="13063" max="13063" width="21.140625" customWidth="1"/>
    <col min="13064" max="13064" width="15.42578125" customWidth="1"/>
    <col min="13065" max="13065" width="31.42578125" customWidth="1"/>
    <col min="13313" max="13313" width="12.42578125" customWidth="1"/>
    <col min="13314" max="13314" width="10.85546875" customWidth="1"/>
    <col min="13315" max="13315" width="9.42578125" customWidth="1"/>
    <col min="13316" max="13316" width="67.42578125" customWidth="1"/>
    <col min="13317" max="13317" width="28.140625" customWidth="1"/>
    <col min="13318" max="13318" width="33" customWidth="1"/>
    <col min="13319" max="13319" width="21.140625" customWidth="1"/>
    <col min="13320" max="13320" width="15.42578125" customWidth="1"/>
    <col min="13321" max="13321" width="31.42578125" customWidth="1"/>
    <col min="13569" max="13569" width="12.42578125" customWidth="1"/>
    <col min="13570" max="13570" width="10.85546875" customWidth="1"/>
    <col min="13571" max="13571" width="9.42578125" customWidth="1"/>
    <col min="13572" max="13572" width="67.42578125" customWidth="1"/>
    <col min="13573" max="13573" width="28.140625" customWidth="1"/>
    <col min="13574" max="13574" width="33" customWidth="1"/>
    <col min="13575" max="13575" width="21.140625" customWidth="1"/>
    <col min="13576" max="13576" width="15.42578125" customWidth="1"/>
    <col min="13577" max="13577" width="31.42578125" customWidth="1"/>
    <col min="13825" max="13825" width="12.42578125" customWidth="1"/>
    <col min="13826" max="13826" width="10.85546875" customWidth="1"/>
    <col min="13827" max="13827" width="9.42578125" customWidth="1"/>
    <col min="13828" max="13828" width="67.42578125" customWidth="1"/>
    <col min="13829" max="13829" width="28.140625" customWidth="1"/>
    <col min="13830" max="13830" width="33" customWidth="1"/>
    <col min="13831" max="13831" width="21.140625" customWidth="1"/>
    <col min="13832" max="13832" width="15.42578125" customWidth="1"/>
    <col min="13833" max="13833" width="31.42578125" customWidth="1"/>
    <col min="14081" max="14081" width="12.42578125" customWidth="1"/>
    <col min="14082" max="14082" width="10.85546875" customWidth="1"/>
    <col min="14083" max="14083" width="9.42578125" customWidth="1"/>
    <col min="14084" max="14084" width="67.42578125" customWidth="1"/>
    <col min="14085" max="14085" width="28.140625" customWidth="1"/>
    <col min="14086" max="14086" width="33" customWidth="1"/>
    <col min="14087" max="14087" width="21.140625" customWidth="1"/>
    <col min="14088" max="14088" width="15.42578125" customWidth="1"/>
    <col min="14089" max="14089" width="31.42578125" customWidth="1"/>
    <col min="14337" max="14337" width="12.42578125" customWidth="1"/>
    <col min="14338" max="14338" width="10.85546875" customWidth="1"/>
    <col min="14339" max="14339" width="9.42578125" customWidth="1"/>
    <col min="14340" max="14340" width="67.42578125" customWidth="1"/>
    <col min="14341" max="14341" width="28.140625" customWidth="1"/>
    <col min="14342" max="14342" width="33" customWidth="1"/>
    <col min="14343" max="14343" width="21.140625" customWidth="1"/>
    <col min="14344" max="14344" width="15.42578125" customWidth="1"/>
    <col min="14345" max="14345" width="31.42578125" customWidth="1"/>
    <col min="14593" max="14593" width="12.42578125" customWidth="1"/>
    <col min="14594" max="14594" width="10.85546875" customWidth="1"/>
    <col min="14595" max="14595" width="9.42578125" customWidth="1"/>
    <col min="14596" max="14596" width="67.42578125" customWidth="1"/>
    <col min="14597" max="14597" width="28.140625" customWidth="1"/>
    <col min="14598" max="14598" width="33" customWidth="1"/>
    <col min="14599" max="14599" width="21.140625" customWidth="1"/>
    <col min="14600" max="14600" width="15.42578125" customWidth="1"/>
    <col min="14601" max="14601" width="31.42578125" customWidth="1"/>
    <col min="14849" max="14849" width="12.42578125" customWidth="1"/>
    <col min="14850" max="14850" width="10.85546875" customWidth="1"/>
    <col min="14851" max="14851" width="9.42578125" customWidth="1"/>
    <col min="14852" max="14852" width="67.42578125" customWidth="1"/>
    <col min="14853" max="14853" width="28.140625" customWidth="1"/>
    <col min="14854" max="14854" width="33" customWidth="1"/>
    <col min="14855" max="14855" width="21.140625" customWidth="1"/>
    <col min="14856" max="14856" width="15.42578125" customWidth="1"/>
    <col min="14857" max="14857" width="31.42578125" customWidth="1"/>
    <col min="15105" max="15105" width="12.42578125" customWidth="1"/>
    <col min="15106" max="15106" width="10.85546875" customWidth="1"/>
    <col min="15107" max="15107" width="9.42578125" customWidth="1"/>
    <col min="15108" max="15108" width="67.42578125" customWidth="1"/>
    <col min="15109" max="15109" width="28.140625" customWidth="1"/>
    <col min="15110" max="15110" width="33" customWidth="1"/>
    <col min="15111" max="15111" width="21.140625" customWidth="1"/>
    <col min="15112" max="15112" width="15.42578125" customWidth="1"/>
    <col min="15113" max="15113" width="31.42578125" customWidth="1"/>
    <col min="15361" max="15361" width="12.42578125" customWidth="1"/>
    <col min="15362" max="15362" width="10.85546875" customWidth="1"/>
    <col min="15363" max="15363" width="9.42578125" customWidth="1"/>
    <col min="15364" max="15364" width="67.42578125" customWidth="1"/>
    <col min="15365" max="15365" width="28.140625" customWidth="1"/>
    <col min="15366" max="15366" width="33" customWidth="1"/>
    <col min="15367" max="15367" width="21.140625" customWidth="1"/>
    <col min="15368" max="15368" width="15.42578125" customWidth="1"/>
    <col min="15369" max="15369" width="31.42578125" customWidth="1"/>
    <col min="15617" max="15617" width="12.42578125" customWidth="1"/>
    <col min="15618" max="15618" width="10.85546875" customWidth="1"/>
    <col min="15619" max="15619" width="9.42578125" customWidth="1"/>
    <col min="15620" max="15620" width="67.42578125" customWidth="1"/>
    <col min="15621" max="15621" width="28.140625" customWidth="1"/>
    <col min="15622" max="15622" width="33" customWidth="1"/>
    <col min="15623" max="15623" width="21.140625" customWidth="1"/>
    <col min="15624" max="15624" width="15.42578125" customWidth="1"/>
    <col min="15625" max="15625" width="31.42578125" customWidth="1"/>
    <col min="15873" max="15873" width="12.42578125" customWidth="1"/>
    <col min="15874" max="15874" width="10.85546875" customWidth="1"/>
    <col min="15875" max="15875" width="9.42578125" customWidth="1"/>
    <col min="15876" max="15876" width="67.42578125" customWidth="1"/>
    <col min="15877" max="15877" width="28.140625" customWidth="1"/>
    <col min="15878" max="15878" width="33" customWidth="1"/>
    <col min="15879" max="15879" width="21.140625" customWidth="1"/>
    <col min="15880" max="15880" width="15.42578125" customWidth="1"/>
    <col min="15881" max="15881" width="31.42578125" customWidth="1"/>
    <col min="16129" max="16129" width="12.42578125" customWidth="1"/>
    <col min="16130" max="16130" width="10.85546875" customWidth="1"/>
    <col min="16131" max="16131" width="9.42578125" customWidth="1"/>
    <col min="16132" max="16132" width="67.42578125" customWidth="1"/>
    <col min="16133" max="16133" width="28.140625" customWidth="1"/>
    <col min="16134" max="16134" width="33" customWidth="1"/>
    <col min="16135" max="16135" width="21.140625" customWidth="1"/>
    <col min="16136" max="16136" width="15.42578125" customWidth="1"/>
    <col min="16137" max="16137" width="31.42578125" customWidth="1"/>
  </cols>
  <sheetData>
    <row r="1" spans="1:9" ht="14.1" customHeight="1" x14ac:dyDescent="0.25">
      <c r="A1" s="181" t="s">
        <v>295</v>
      </c>
      <c r="B1" s="182" t="s">
        <v>296</v>
      </c>
      <c r="C1" s="183" t="s">
        <v>297</v>
      </c>
      <c r="D1" s="182" t="s">
        <v>116</v>
      </c>
      <c r="E1" s="182" t="s">
        <v>298</v>
      </c>
      <c r="F1" s="182" t="s">
        <v>299</v>
      </c>
      <c r="G1" s="182" t="s">
        <v>4</v>
      </c>
      <c r="H1" s="182" t="s">
        <v>300</v>
      </c>
      <c r="I1" s="182" t="s">
        <v>301</v>
      </c>
    </row>
    <row r="2" spans="1:9" ht="14.1" customHeight="1" x14ac:dyDescent="0.25">
      <c r="A2" s="184">
        <v>37</v>
      </c>
      <c r="B2" s="185">
        <v>259706</v>
      </c>
      <c r="C2" s="186">
        <v>1009989</v>
      </c>
      <c r="D2" s="187" t="s">
        <v>498</v>
      </c>
      <c r="E2" s="188" t="s">
        <v>499</v>
      </c>
      <c r="F2" s="188" t="s">
        <v>500</v>
      </c>
      <c r="G2" s="188" t="s">
        <v>15</v>
      </c>
      <c r="H2" s="185">
        <v>161640</v>
      </c>
      <c r="I2" s="188" t="s">
        <v>74</v>
      </c>
    </row>
    <row r="3" spans="1:9" ht="14.1" customHeight="1" x14ac:dyDescent="0.25">
      <c r="A3" s="184">
        <v>76</v>
      </c>
      <c r="B3" s="185">
        <v>256092</v>
      </c>
      <c r="C3" s="186">
        <v>1009491</v>
      </c>
      <c r="D3" s="187" t="s">
        <v>477</v>
      </c>
      <c r="E3" s="188" t="s">
        <v>478</v>
      </c>
      <c r="F3" s="188" t="s">
        <v>17</v>
      </c>
      <c r="G3" s="188" t="s">
        <v>17</v>
      </c>
      <c r="H3" s="185">
        <v>161627</v>
      </c>
      <c r="I3" s="188" t="s">
        <v>33</v>
      </c>
    </row>
    <row r="4" spans="1:9" ht="14.1" customHeight="1" x14ac:dyDescent="0.25">
      <c r="A4" s="184">
        <v>1</v>
      </c>
      <c r="B4" s="185">
        <v>286047</v>
      </c>
      <c r="C4" s="186">
        <v>1009952</v>
      </c>
      <c r="D4" s="187" t="s">
        <v>361</v>
      </c>
      <c r="E4" s="188" t="s">
        <v>362</v>
      </c>
      <c r="F4" s="188" t="s">
        <v>363</v>
      </c>
      <c r="G4" s="188" t="s">
        <v>187</v>
      </c>
      <c r="H4" s="185">
        <v>160337</v>
      </c>
      <c r="I4" s="188" t="s">
        <v>364</v>
      </c>
    </row>
    <row r="5" spans="1:9" ht="14.1" customHeight="1" x14ac:dyDescent="0.25">
      <c r="A5" s="184">
        <v>2</v>
      </c>
      <c r="B5" s="185">
        <v>286084</v>
      </c>
      <c r="C5" s="186">
        <v>1009100</v>
      </c>
      <c r="D5" s="187" t="s">
        <v>365</v>
      </c>
      <c r="E5" s="188" t="s">
        <v>366</v>
      </c>
      <c r="F5" s="188" t="s">
        <v>367</v>
      </c>
      <c r="G5" s="188" t="s">
        <v>187</v>
      </c>
      <c r="H5" s="185">
        <v>160337</v>
      </c>
      <c r="I5" s="188" t="s">
        <v>364</v>
      </c>
    </row>
    <row r="6" spans="1:9" ht="14.1" customHeight="1" x14ac:dyDescent="0.25">
      <c r="A6" s="184">
        <v>3</v>
      </c>
      <c r="B6" s="185">
        <v>200591</v>
      </c>
      <c r="C6" s="186">
        <v>1009606</v>
      </c>
      <c r="D6" s="187" t="s">
        <v>320</v>
      </c>
      <c r="E6" s="188" t="s">
        <v>321</v>
      </c>
      <c r="F6" s="188" t="s">
        <v>322</v>
      </c>
      <c r="G6" s="188" t="s">
        <v>19</v>
      </c>
      <c r="H6" s="185">
        <v>160325</v>
      </c>
      <c r="I6" s="188" t="s">
        <v>35</v>
      </c>
    </row>
    <row r="7" spans="1:9" ht="14.1" customHeight="1" x14ac:dyDescent="0.25">
      <c r="A7" s="184">
        <v>47</v>
      </c>
      <c r="B7" s="185">
        <v>257692</v>
      </c>
      <c r="C7" s="186">
        <v>1009528</v>
      </c>
      <c r="D7" s="187" t="s">
        <v>348</v>
      </c>
      <c r="E7" s="188" t="s">
        <v>349</v>
      </c>
      <c r="F7" s="188" t="s">
        <v>29</v>
      </c>
      <c r="G7" s="188" t="s">
        <v>29</v>
      </c>
      <c r="H7" s="185">
        <v>161639</v>
      </c>
      <c r="I7" s="188" t="s">
        <v>350</v>
      </c>
    </row>
    <row r="8" spans="1:9" ht="14.1" customHeight="1" x14ac:dyDescent="0.25">
      <c r="A8" s="184">
        <v>5</v>
      </c>
      <c r="B8" s="185">
        <v>203520</v>
      </c>
      <c r="C8" s="186">
        <v>1009299</v>
      </c>
      <c r="D8" s="187" t="s">
        <v>388</v>
      </c>
      <c r="E8" s="188" t="s">
        <v>389</v>
      </c>
      <c r="F8" s="188" t="s">
        <v>9</v>
      </c>
      <c r="G8" s="188" t="s">
        <v>9</v>
      </c>
      <c r="H8" s="185">
        <v>160349</v>
      </c>
      <c r="I8" s="188" t="s">
        <v>36</v>
      </c>
    </row>
    <row r="9" spans="1:9" ht="14.1" customHeight="1" x14ac:dyDescent="0.25">
      <c r="A9" s="184">
        <v>6</v>
      </c>
      <c r="B9" s="185">
        <v>203671</v>
      </c>
      <c r="C9" s="186">
        <v>1009009</v>
      </c>
      <c r="D9" s="187" t="s">
        <v>501</v>
      </c>
      <c r="E9" s="188" t="s">
        <v>502</v>
      </c>
      <c r="F9" s="188" t="s">
        <v>503</v>
      </c>
      <c r="G9" s="188" t="s">
        <v>15</v>
      </c>
      <c r="H9" s="185">
        <v>161640</v>
      </c>
      <c r="I9" s="188" t="s">
        <v>74</v>
      </c>
    </row>
    <row r="10" spans="1:9" ht="14.1" customHeight="1" x14ac:dyDescent="0.25">
      <c r="A10" s="184">
        <v>7</v>
      </c>
      <c r="B10" s="185">
        <v>203695</v>
      </c>
      <c r="C10" s="186">
        <v>1009842</v>
      </c>
      <c r="D10" s="187" t="s">
        <v>479</v>
      </c>
      <c r="E10" s="188" t="s">
        <v>480</v>
      </c>
      <c r="F10" s="188" t="s">
        <v>481</v>
      </c>
      <c r="G10" s="188" t="s">
        <v>17</v>
      </c>
      <c r="H10" s="185">
        <v>161627</v>
      </c>
      <c r="I10" s="188" t="s">
        <v>33</v>
      </c>
    </row>
    <row r="11" spans="1:9" ht="14.1" customHeight="1" x14ac:dyDescent="0.25">
      <c r="A11" s="184">
        <v>9</v>
      </c>
      <c r="B11" s="185">
        <v>204699</v>
      </c>
      <c r="C11" s="186">
        <v>1009286</v>
      </c>
      <c r="D11" s="187" t="s">
        <v>482</v>
      </c>
      <c r="E11" s="188" t="s">
        <v>483</v>
      </c>
      <c r="F11" s="188" t="s">
        <v>48</v>
      </c>
      <c r="G11" s="188" t="s">
        <v>48</v>
      </c>
      <c r="H11" s="185">
        <v>161627</v>
      </c>
      <c r="I11" s="188" t="s">
        <v>33</v>
      </c>
    </row>
    <row r="12" spans="1:9" ht="14.1" customHeight="1" x14ac:dyDescent="0.25">
      <c r="A12" s="184">
        <v>48</v>
      </c>
      <c r="B12" s="185">
        <v>259111</v>
      </c>
      <c r="C12" s="186">
        <v>1009349</v>
      </c>
      <c r="D12" s="187" t="s">
        <v>351</v>
      </c>
      <c r="E12" s="188" t="s">
        <v>352</v>
      </c>
      <c r="F12" s="188" t="s">
        <v>29</v>
      </c>
      <c r="G12" s="188" t="s">
        <v>29</v>
      </c>
      <c r="H12" s="185">
        <v>161639</v>
      </c>
      <c r="I12" s="188" t="s">
        <v>350</v>
      </c>
    </row>
    <row r="13" spans="1:9" ht="14.1" customHeight="1" x14ac:dyDescent="0.25">
      <c r="A13" s="184">
        <v>10</v>
      </c>
      <c r="B13" s="185">
        <v>254952</v>
      </c>
      <c r="C13" s="186">
        <v>1009981</v>
      </c>
      <c r="D13" s="187" t="s">
        <v>504</v>
      </c>
      <c r="E13" s="188" t="s">
        <v>505</v>
      </c>
      <c r="F13" s="188" t="s">
        <v>506</v>
      </c>
      <c r="G13" s="188" t="s">
        <v>63</v>
      </c>
      <c r="H13" s="185">
        <v>161640</v>
      </c>
      <c r="I13" s="188" t="s">
        <v>74</v>
      </c>
    </row>
    <row r="14" spans="1:9" ht="14.1" customHeight="1" x14ac:dyDescent="0.25">
      <c r="A14" s="184">
        <v>11</v>
      </c>
      <c r="B14" s="185">
        <v>254964</v>
      </c>
      <c r="C14" s="186">
        <v>1009853</v>
      </c>
      <c r="D14" s="187" t="s">
        <v>420</v>
      </c>
      <c r="E14" s="188" t="s">
        <v>421</v>
      </c>
      <c r="F14" s="188" t="s">
        <v>13</v>
      </c>
      <c r="G14" s="188" t="s">
        <v>13</v>
      </c>
      <c r="H14" s="185">
        <v>160556</v>
      </c>
      <c r="I14" s="188" t="s">
        <v>422</v>
      </c>
    </row>
    <row r="15" spans="1:9" ht="14.1" customHeight="1" x14ac:dyDescent="0.25">
      <c r="A15" s="184">
        <v>12</v>
      </c>
      <c r="B15" s="185">
        <v>206600</v>
      </c>
      <c r="C15" s="186">
        <v>1009455</v>
      </c>
      <c r="D15" s="187" t="s">
        <v>353</v>
      </c>
      <c r="E15" s="188" t="s">
        <v>354</v>
      </c>
      <c r="F15" s="188" t="s">
        <v>78</v>
      </c>
      <c r="G15" s="188" t="s">
        <v>78</v>
      </c>
      <c r="H15" s="185">
        <v>161639</v>
      </c>
      <c r="I15" s="188" t="s">
        <v>350</v>
      </c>
    </row>
    <row r="16" spans="1:9" ht="14.1" customHeight="1" x14ac:dyDescent="0.25">
      <c r="A16" s="184">
        <v>13</v>
      </c>
      <c r="B16" s="185">
        <v>206647</v>
      </c>
      <c r="C16" s="186">
        <v>1009819</v>
      </c>
      <c r="D16" s="187" t="s">
        <v>323</v>
      </c>
      <c r="E16" s="188" t="s">
        <v>324</v>
      </c>
      <c r="F16" s="188" t="s">
        <v>325</v>
      </c>
      <c r="G16" s="188" t="s">
        <v>19</v>
      </c>
      <c r="H16" s="185">
        <v>160325</v>
      </c>
      <c r="I16" s="188" t="s">
        <v>35</v>
      </c>
    </row>
    <row r="17" spans="1:9" ht="14.1" customHeight="1" x14ac:dyDescent="0.25">
      <c r="A17" s="184">
        <v>15</v>
      </c>
      <c r="B17" s="185">
        <v>206945</v>
      </c>
      <c r="C17" s="186">
        <v>1009649</v>
      </c>
      <c r="D17" s="187" t="s">
        <v>390</v>
      </c>
      <c r="E17" s="188" t="s">
        <v>391</v>
      </c>
      <c r="F17" s="188" t="s">
        <v>392</v>
      </c>
      <c r="G17" s="188" t="s">
        <v>9</v>
      </c>
      <c r="H17" s="185">
        <v>160349</v>
      </c>
      <c r="I17" s="188" t="s">
        <v>36</v>
      </c>
    </row>
    <row r="18" spans="1:9" ht="14.1" customHeight="1" x14ac:dyDescent="0.25">
      <c r="A18" s="184">
        <v>16</v>
      </c>
      <c r="B18" s="185">
        <v>207858</v>
      </c>
      <c r="C18" s="186">
        <v>1009717</v>
      </c>
      <c r="D18" s="187" t="s">
        <v>326</v>
      </c>
      <c r="E18" s="188" t="s">
        <v>324</v>
      </c>
      <c r="F18" s="188" t="s">
        <v>194</v>
      </c>
      <c r="G18" s="188" t="s">
        <v>194</v>
      </c>
      <c r="H18" s="185">
        <v>160325</v>
      </c>
      <c r="I18" s="188" t="s">
        <v>35</v>
      </c>
    </row>
    <row r="19" spans="1:9" ht="14.1" customHeight="1" x14ac:dyDescent="0.25">
      <c r="A19" s="184">
        <v>17</v>
      </c>
      <c r="B19" s="185">
        <v>255026</v>
      </c>
      <c r="C19" s="186">
        <v>1009367</v>
      </c>
      <c r="D19" s="187" t="s">
        <v>327</v>
      </c>
      <c r="E19" s="188" t="s">
        <v>324</v>
      </c>
      <c r="F19" s="188" t="s">
        <v>54</v>
      </c>
      <c r="G19" s="188" t="s">
        <v>196</v>
      </c>
      <c r="H19" s="185">
        <v>160325</v>
      </c>
      <c r="I19" s="188" t="s">
        <v>35</v>
      </c>
    </row>
    <row r="20" spans="1:9" ht="14.1" customHeight="1" x14ac:dyDescent="0.25">
      <c r="A20" s="184">
        <v>18</v>
      </c>
      <c r="B20" s="185">
        <v>208644</v>
      </c>
      <c r="C20" s="186">
        <v>1009736</v>
      </c>
      <c r="D20" s="187" t="s">
        <v>328</v>
      </c>
      <c r="E20" s="188" t="s">
        <v>324</v>
      </c>
      <c r="F20" s="188" t="s">
        <v>329</v>
      </c>
      <c r="G20" s="188" t="s">
        <v>19</v>
      </c>
      <c r="H20" s="185">
        <v>160325</v>
      </c>
      <c r="I20" s="188" t="s">
        <v>35</v>
      </c>
    </row>
    <row r="21" spans="1:9" ht="14.1" customHeight="1" x14ac:dyDescent="0.25">
      <c r="A21" s="184">
        <v>46</v>
      </c>
      <c r="B21" s="185">
        <v>255610</v>
      </c>
      <c r="C21" s="186">
        <v>1009344</v>
      </c>
      <c r="D21" s="187" t="s">
        <v>355</v>
      </c>
      <c r="E21" s="188" t="s">
        <v>356</v>
      </c>
      <c r="F21" s="188" t="s">
        <v>29</v>
      </c>
      <c r="G21" s="188" t="s">
        <v>29</v>
      </c>
      <c r="H21" s="185">
        <v>161639</v>
      </c>
      <c r="I21" s="188" t="s">
        <v>350</v>
      </c>
    </row>
    <row r="22" spans="1:9" ht="14.1" customHeight="1" x14ac:dyDescent="0.25">
      <c r="A22" s="184">
        <v>21</v>
      </c>
      <c r="B22" s="185">
        <v>210286</v>
      </c>
      <c r="C22" s="186">
        <v>1009190</v>
      </c>
      <c r="D22" s="187" t="s">
        <v>302</v>
      </c>
      <c r="E22" s="188" t="s">
        <v>303</v>
      </c>
      <c r="F22" s="188" t="s">
        <v>304</v>
      </c>
      <c r="G22" s="188" t="s">
        <v>49</v>
      </c>
      <c r="H22" s="185">
        <v>160313</v>
      </c>
      <c r="I22" s="188" t="s">
        <v>305</v>
      </c>
    </row>
    <row r="23" spans="1:9" ht="14.1" customHeight="1" x14ac:dyDescent="0.25">
      <c r="A23" s="184">
        <v>50</v>
      </c>
      <c r="B23" s="185">
        <v>259755</v>
      </c>
      <c r="C23" s="186">
        <v>1009376</v>
      </c>
      <c r="D23" s="187" t="s">
        <v>357</v>
      </c>
      <c r="E23" s="188" t="s">
        <v>358</v>
      </c>
      <c r="F23" s="188" t="s">
        <v>29</v>
      </c>
      <c r="G23" s="188" t="s">
        <v>29</v>
      </c>
      <c r="H23" s="185">
        <v>161639</v>
      </c>
      <c r="I23" s="188" t="s">
        <v>350</v>
      </c>
    </row>
    <row r="24" spans="1:9" ht="14.1" customHeight="1" x14ac:dyDescent="0.25">
      <c r="A24" s="184">
        <v>22</v>
      </c>
      <c r="B24" s="185">
        <v>211382</v>
      </c>
      <c r="C24" s="186">
        <v>1009624</v>
      </c>
      <c r="D24" s="187" t="s">
        <v>306</v>
      </c>
      <c r="E24" s="188" t="s">
        <v>307</v>
      </c>
      <c r="F24" s="188" t="s">
        <v>49</v>
      </c>
      <c r="G24" s="188" t="s">
        <v>49</v>
      </c>
      <c r="H24" s="185">
        <v>160313</v>
      </c>
      <c r="I24" s="188" t="s">
        <v>305</v>
      </c>
    </row>
    <row r="25" spans="1:9" ht="14.1" customHeight="1" x14ac:dyDescent="0.25">
      <c r="A25" s="184">
        <v>23</v>
      </c>
      <c r="B25" s="185">
        <v>255166</v>
      </c>
      <c r="C25" s="186">
        <v>1009066</v>
      </c>
      <c r="D25" s="187" t="s">
        <v>423</v>
      </c>
      <c r="E25" s="188" t="s">
        <v>424</v>
      </c>
      <c r="F25" s="188" t="s">
        <v>200</v>
      </c>
      <c r="G25" s="188" t="s">
        <v>200</v>
      </c>
      <c r="H25" s="185">
        <v>160556</v>
      </c>
      <c r="I25" s="188" t="s">
        <v>422</v>
      </c>
    </row>
    <row r="26" spans="1:9" ht="14.1" customHeight="1" x14ac:dyDescent="0.25">
      <c r="A26" s="184">
        <v>24</v>
      </c>
      <c r="B26" s="185">
        <v>212866</v>
      </c>
      <c r="C26" s="186">
        <v>1009840</v>
      </c>
      <c r="D26" s="187" t="s">
        <v>425</v>
      </c>
      <c r="E26" s="188" t="s">
        <v>426</v>
      </c>
      <c r="F26" s="188" t="s">
        <v>201</v>
      </c>
      <c r="G26" s="188" t="s">
        <v>201</v>
      </c>
      <c r="H26" s="185">
        <v>160556</v>
      </c>
      <c r="I26" s="188" t="s">
        <v>422</v>
      </c>
    </row>
    <row r="27" spans="1:9" ht="14.1" customHeight="1" x14ac:dyDescent="0.25">
      <c r="A27" s="184">
        <v>25</v>
      </c>
      <c r="B27" s="185">
        <v>213548</v>
      </c>
      <c r="C27" s="186">
        <v>1009973</v>
      </c>
      <c r="D27" s="187" t="s">
        <v>330</v>
      </c>
      <c r="E27" s="188" t="s">
        <v>331</v>
      </c>
      <c r="F27" s="188" t="s">
        <v>332</v>
      </c>
      <c r="G27" s="188" t="s">
        <v>84</v>
      </c>
      <c r="H27" s="185">
        <v>160325</v>
      </c>
      <c r="I27" s="188" t="s">
        <v>35</v>
      </c>
    </row>
    <row r="28" spans="1:9" ht="14.1" customHeight="1" x14ac:dyDescent="0.25">
      <c r="A28" s="184">
        <v>26</v>
      </c>
      <c r="B28" s="185">
        <v>213913</v>
      </c>
      <c r="C28" s="186">
        <v>1009155</v>
      </c>
      <c r="D28" s="187" t="s">
        <v>393</v>
      </c>
      <c r="E28" s="188" t="s">
        <v>394</v>
      </c>
      <c r="F28" s="188" t="s">
        <v>9</v>
      </c>
      <c r="G28" s="188" t="s">
        <v>9</v>
      </c>
      <c r="H28" s="185">
        <v>160349</v>
      </c>
      <c r="I28" s="188" t="s">
        <v>36</v>
      </c>
    </row>
    <row r="29" spans="1:9" ht="14.1" customHeight="1" x14ac:dyDescent="0.25">
      <c r="A29" s="184">
        <v>27</v>
      </c>
      <c r="B29" s="185">
        <v>214000</v>
      </c>
      <c r="C29" s="186">
        <v>1009831</v>
      </c>
      <c r="D29" s="187" t="s">
        <v>395</v>
      </c>
      <c r="E29" s="188" t="s">
        <v>324</v>
      </c>
      <c r="F29" s="188" t="s">
        <v>396</v>
      </c>
      <c r="G29" s="188" t="s">
        <v>9</v>
      </c>
      <c r="H29" s="185">
        <v>160349</v>
      </c>
      <c r="I29" s="188" t="s">
        <v>36</v>
      </c>
    </row>
    <row r="30" spans="1:9" ht="14.1" customHeight="1" x14ac:dyDescent="0.25">
      <c r="A30" s="184">
        <v>29</v>
      </c>
      <c r="B30" s="185">
        <v>214942</v>
      </c>
      <c r="C30" s="186">
        <v>1009364</v>
      </c>
      <c r="D30" s="187" t="s">
        <v>368</v>
      </c>
      <c r="E30" s="188" t="s">
        <v>369</v>
      </c>
      <c r="F30" s="188" t="s">
        <v>370</v>
      </c>
      <c r="G30" s="188" t="s">
        <v>187</v>
      </c>
      <c r="H30" s="185">
        <v>160337</v>
      </c>
      <c r="I30" s="188" t="s">
        <v>364</v>
      </c>
    </row>
    <row r="31" spans="1:9" ht="14.1" customHeight="1" x14ac:dyDescent="0.25">
      <c r="A31" s="184">
        <v>30</v>
      </c>
      <c r="B31" s="185">
        <v>214991</v>
      </c>
      <c r="C31" s="186">
        <v>1009381</v>
      </c>
      <c r="D31" s="187" t="s">
        <v>308</v>
      </c>
      <c r="E31" s="188" t="s">
        <v>309</v>
      </c>
      <c r="F31" s="188" t="s">
        <v>310</v>
      </c>
      <c r="G31" s="188" t="s">
        <v>311</v>
      </c>
      <c r="H31" s="185">
        <v>160313</v>
      </c>
      <c r="I31" s="188" t="s">
        <v>305</v>
      </c>
    </row>
    <row r="32" spans="1:9" ht="14.1" customHeight="1" x14ac:dyDescent="0.25">
      <c r="A32" s="184">
        <v>31</v>
      </c>
      <c r="B32" s="185">
        <v>215909</v>
      </c>
      <c r="C32" s="186">
        <v>1009266</v>
      </c>
      <c r="D32" s="187" t="s">
        <v>427</v>
      </c>
      <c r="E32" s="188" t="s">
        <v>401</v>
      </c>
      <c r="F32" s="188" t="s">
        <v>428</v>
      </c>
      <c r="G32" s="188" t="s">
        <v>206</v>
      </c>
      <c r="H32" s="185">
        <v>160556</v>
      </c>
      <c r="I32" s="188" t="s">
        <v>422</v>
      </c>
    </row>
    <row r="33" spans="1:9" ht="14.1" customHeight="1" x14ac:dyDescent="0.25">
      <c r="A33" s="184">
        <v>20</v>
      </c>
      <c r="B33" s="185">
        <v>215557</v>
      </c>
      <c r="C33" s="186">
        <v>1009204</v>
      </c>
      <c r="D33" s="187" t="s">
        <v>467</v>
      </c>
      <c r="E33" s="188" t="s">
        <v>468</v>
      </c>
      <c r="F33" s="188" t="s">
        <v>469</v>
      </c>
      <c r="G33" s="188" t="s">
        <v>469</v>
      </c>
      <c r="H33" s="185">
        <v>160350</v>
      </c>
      <c r="I33" s="188" t="s">
        <v>470</v>
      </c>
    </row>
    <row r="34" spans="1:9" ht="14.1" customHeight="1" x14ac:dyDescent="0.25">
      <c r="A34" s="184">
        <v>32</v>
      </c>
      <c r="B34" s="185">
        <v>216136</v>
      </c>
      <c r="C34" s="186">
        <v>1009681</v>
      </c>
      <c r="D34" s="187" t="s">
        <v>397</v>
      </c>
      <c r="E34" s="188" t="s">
        <v>398</v>
      </c>
      <c r="F34" s="188" t="s">
        <v>399</v>
      </c>
      <c r="G34" s="188" t="s">
        <v>208</v>
      </c>
      <c r="H34" s="185">
        <v>160349</v>
      </c>
      <c r="I34" s="188" t="s">
        <v>36</v>
      </c>
    </row>
    <row r="35" spans="1:9" ht="14.1" customHeight="1" x14ac:dyDescent="0.25">
      <c r="A35" s="184">
        <v>33</v>
      </c>
      <c r="B35" s="185">
        <v>216574</v>
      </c>
      <c r="C35" s="186">
        <v>1009001</v>
      </c>
      <c r="D35" s="187" t="s">
        <v>429</v>
      </c>
      <c r="E35" s="188" t="s">
        <v>430</v>
      </c>
      <c r="F35" s="188" t="s">
        <v>56</v>
      </c>
      <c r="G35" s="188" t="s">
        <v>56</v>
      </c>
      <c r="H35" s="185">
        <v>160556</v>
      </c>
      <c r="I35" s="188" t="s">
        <v>422</v>
      </c>
    </row>
    <row r="36" spans="1:9" ht="14.1" customHeight="1" x14ac:dyDescent="0.25">
      <c r="A36" s="184">
        <v>34</v>
      </c>
      <c r="B36" s="185">
        <v>217311</v>
      </c>
      <c r="C36" s="186">
        <v>1009910</v>
      </c>
      <c r="D36" s="187" t="s">
        <v>507</v>
      </c>
      <c r="E36" s="188" t="s">
        <v>508</v>
      </c>
      <c r="F36" s="188" t="s">
        <v>60</v>
      </c>
      <c r="G36" s="188" t="s">
        <v>60</v>
      </c>
      <c r="H36" s="185">
        <v>161640</v>
      </c>
      <c r="I36" s="188" t="s">
        <v>74</v>
      </c>
    </row>
    <row r="37" spans="1:9" ht="14.1" customHeight="1" x14ac:dyDescent="0.25">
      <c r="A37" s="184">
        <v>35</v>
      </c>
      <c r="B37" s="185">
        <v>217700</v>
      </c>
      <c r="C37" s="186">
        <v>1009471</v>
      </c>
      <c r="D37" s="187" t="s">
        <v>371</v>
      </c>
      <c r="E37" s="188" t="s">
        <v>372</v>
      </c>
      <c r="F37" s="188" t="s">
        <v>373</v>
      </c>
      <c r="G37" s="188" t="s">
        <v>187</v>
      </c>
      <c r="H37" s="185">
        <v>160337</v>
      </c>
      <c r="I37" s="188" t="s">
        <v>364</v>
      </c>
    </row>
    <row r="38" spans="1:9" ht="14.1" customHeight="1" x14ac:dyDescent="0.25">
      <c r="A38" s="184">
        <v>36</v>
      </c>
      <c r="B38" s="185">
        <v>217815</v>
      </c>
      <c r="C38" s="186">
        <v>1009444</v>
      </c>
      <c r="D38" s="187" t="s">
        <v>400</v>
      </c>
      <c r="E38" s="188" t="s">
        <v>401</v>
      </c>
      <c r="F38" s="188" t="s">
        <v>402</v>
      </c>
      <c r="G38" s="188" t="s">
        <v>9</v>
      </c>
      <c r="H38" s="185">
        <v>160349</v>
      </c>
      <c r="I38" s="188" t="s">
        <v>36</v>
      </c>
    </row>
    <row r="39" spans="1:9" ht="14.1" customHeight="1" x14ac:dyDescent="0.25">
      <c r="A39" s="184">
        <v>77</v>
      </c>
      <c r="B39" s="185">
        <v>258180</v>
      </c>
      <c r="C39" s="186">
        <v>1009068</v>
      </c>
      <c r="D39" s="187" t="s">
        <v>484</v>
      </c>
      <c r="E39" s="188" t="s">
        <v>485</v>
      </c>
      <c r="F39" s="188" t="s">
        <v>17</v>
      </c>
      <c r="G39" s="188" t="s">
        <v>17</v>
      </c>
      <c r="H39" s="185">
        <v>161627</v>
      </c>
      <c r="I39" s="188" t="s">
        <v>33</v>
      </c>
    </row>
    <row r="40" spans="1:9" ht="14.1" customHeight="1" x14ac:dyDescent="0.25">
      <c r="A40" s="184">
        <v>38</v>
      </c>
      <c r="B40" s="185">
        <v>220310</v>
      </c>
      <c r="C40" s="186">
        <v>1009723</v>
      </c>
      <c r="D40" s="187" t="s">
        <v>431</v>
      </c>
      <c r="E40" s="188" t="s">
        <v>324</v>
      </c>
      <c r="F40" s="188" t="s">
        <v>432</v>
      </c>
      <c r="G40" s="188" t="s">
        <v>56</v>
      </c>
      <c r="H40" s="185">
        <v>160556</v>
      </c>
      <c r="I40" s="188" t="s">
        <v>422</v>
      </c>
    </row>
    <row r="41" spans="1:9" ht="14.1" customHeight="1" x14ac:dyDescent="0.25">
      <c r="A41" s="184">
        <v>43</v>
      </c>
      <c r="B41" s="185">
        <v>226452</v>
      </c>
      <c r="C41" s="186">
        <v>1009643</v>
      </c>
      <c r="D41" s="187" t="s">
        <v>403</v>
      </c>
      <c r="E41" s="188" t="s">
        <v>404</v>
      </c>
      <c r="F41" s="188" t="s">
        <v>405</v>
      </c>
      <c r="G41" s="188" t="s">
        <v>58</v>
      </c>
      <c r="H41" s="185">
        <v>160349</v>
      </c>
      <c r="I41" s="188" t="s">
        <v>36</v>
      </c>
    </row>
    <row r="42" spans="1:9" ht="14.1" customHeight="1" x14ac:dyDescent="0.25">
      <c r="A42" s="184">
        <v>49</v>
      </c>
      <c r="B42" s="185">
        <v>259627</v>
      </c>
      <c r="C42" s="186">
        <v>1009779</v>
      </c>
      <c r="D42" s="187" t="s">
        <v>359</v>
      </c>
      <c r="E42" s="188" t="s">
        <v>324</v>
      </c>
      <c r="F42" s="188" t="s">
        <v>360</v>
      </c>
      <c r="G42" s="188" t="s">
        <v>29</v>
      </c>
      <c r="H42" s="185">
        <v>161639</v>
      </c>
      <c r="I42" s="188" t="s">
        <v>350</v>
      </c>
    </row>
    <row r="43" spans="1:9" ht="14.1" customHeight="1" x14ac:dyDescent="0.25">
      <c r="A43" s="184">
        <v>44</v>
      </c>
      <c r="B43" s="185">
        <v>255592</v>
      </c>
      <c r="C43" s="186">
        <v>1009451</v>
      </c>
      <c r="D43" s="187" t="s">
        <v>433</v>
      </c>
      <c r="E43" s="188" t="s">
        <v>309</v>
      </c>
      <c r="F43" s="188" t="s">
        <v>434</v>
      </c>
      <c r="G43" s="188" t="s">
        <v>44</v>
      </c>
      <c r="H43" s="185">
        <v>160556</v>
      </c>
      <c r="I43" s="188" t="s">
        <v>422</v>
      </c>
    </row>
    <row r="44" spans="1:9" ht="14.1" customHeight="1" x14ac:dyDescent="0.25">
      <c r="A44" s="184">
        <v>45</v>
      </c>
      <c r="B44" s="185">
        <v>229490</v>
      </c>
      <c r="C44" s="186">
        <v>1009860</v>
      </c>
      <c r="D44" s="187" t="s">
        <v>435</v>
      </c>
      <c r="E44" s="188" t="s">
        <v>436</v>
      </c>
      <c r="F44" s="188" t="s">
        <v>437</v>
      </c>
      <c r="G44" s="188" t="s">
        <v>184</v>
      </c>
      <c r="H44" s="185">
        <v>160556</v>
      </c>
      <c r="I44" s="188" t="s">
        <v>422</v>
      </c>
    </row>
    <row r="45" spans="1:9" ht="14.1" customHeight="1" x14ac:dyDescent="0.25">
      <c r="A45" s="184">
        <v>51</v>
      </c>
      <c r="B45" s="185">
        <v>230194</v>
      </c>
      <c r="C45" s="186">
        <v>1009153</v>
      </c>
      <c r="D45" s="187" t="s">
        <v>471</v>
      </c>
      <c r="E45" s="188" t="s">
        <v>472</v>
      </c>
      <c r="F45" s="188" t="s">
        <v>473</v>
      </c>
      <c r="G45" s="188" t="s">
        <v>217</v>
      </c>
      <c r="H45" s="185">
        <v>160350</v>
      </c>
      <c r="I45" s="188" t="s">
        <v>470</v>
      </c>
    </row>
    <row r="46" spans="1:9" ht="14.1" customHeight="1" x14ac:dyDescent="0.25">
      <c r="A46" s="184">
        <v>53</v>
      </c>
      <c r="B46" s="185">
        <v>230704</v>
      </c>
      <c r="C46" s="186">
        <v>1009263</v>
      </c>
      <c r="D46" s="187" t="s">
        <v>374</v>
      </c>
      <c r="E46" s="188" t="s">
        <v>375</v>
      </c>
      <c r="F46" s="188" t="s">
        <v>376</v>
      </c>
      <c r="G46" s="188" t="s">
        <v>187</v>
      </c>
      <c r="H46" s="185">
        <v>160337</v>
      </c>
      <c r="I46" s="188" t="s">
        <v>364</v>
      </c>
    </row>
    <row r="47" spans="1:9" ht="14.1" customHeight="1" x14ac:dyDescent="0.25">
      <c r="A47" s="184">
        <v>54</v>
      </c>
      <c r="B47" s="185">
        <v>257163</v>
      </c>
      <c r="C47" s="186">
        <v>1009021</v>
      </c>
      <c r="D47" s="187" t="s">
        <v>333</v>
      </c>
      <c r="E47" s="188" t="s">
        <v>334</v>
      </c>
      <c r="F47" s="188" t="s">
        <v>335</v>
      </c>
      <c r="G47" s="188" t="s">
        <v>196</v>
      </c>
      <c r="H47" s="185">
        <v>160325</v>
      </c>
      <c r="I47" s="188" t="s">
        <v>35</v>
      </c>
    </row>
    <row r="48" spans="1:9" ht="14.1" customHeight="1" x14ac:dyDescent="0.25">
      <c r="A48" s="184">
        <v>56</v>
      </c>
      <c r="B48" s="185">
        <v>231496</v>
      </c>
      <c r="C48" s="186">
        <v>1009211</v>
      </c>
      <c r="D48" s="187" t="s">
        <v>406</v>
      </c>
      <c r="E48" s="188" t="s">
        <v>378</v>
      </c>
      <c r="F48" s="188" t="s">
        <v>407</v>
      </c>
      <c r="G48" s="188" t="s">
        <v>58</v>
      </c>
      <c r="H48" s="185">
        <v>160349</v>
      </c>
      <c r="I48" s="188" t="s">
        <v>36</v>
      </c>
    </row>
    <row r="49" spans="1:12" ht="14.1" customHeight="1" x14ac:dyDescent="0.25">
      <c r="A49" s="184">
        <v>57</v>
      </c>
      <c r="B49" s="185">
        <v>231629</v>
      </c>
      <c r="C49" s="186">
        <v>1009324</v>
      </c>
      <c r="D49" s="187" t="s">
        <v>408</v>
      </c>
      <c r="E49" s="188" t="s">
        <v>409</v>
      </c>
      <c r="F49" s="188" t="s">
        <v>58</v>
      </c>
      <c r="G49" s="188" t="s">
        <v>58</v>
      </c>
      <c r="H49" s="185">
        <v>160349</v>
      </c>
      <c r="I49" s="188" t="s">
        <v>36</v>
      </c>
      <c r="L49" s="87"/>
    </row>
    <row r="50" spans="1:12" ht="14.1" customHeight="1" x14ac:dyDescent="0.25">
      <c r="A50" s="184">
        <v>58</v>
      </c>
      <c r="B50" s="185">
        <v>231680</v>
      </c>
      <c r="C50" s="186">
        <v>1009148</v>
      </c>
      <c r="D50" s="187" t="s">
        <v>486</v>
      </c>
      <c r="E50" s="188" t="s">
        <v>378</v>
      </c>
      <c r="F50" s="188" t="s">
        <v>487</v>
      </c>
      <c r="G50" s="188" t="s">
        <v>48</v>
      </c>
      <c r="H50" s="185">
        <v>161627</v>
      </c>
      <c r="I50" s="188" t="s">
        <v>33</v>
      </c>
    </row>
    <row r="51" spans="1:12" ht="14.1" customHeight="1" x14ac:dyDescent="0.25">
      <c r="A51" s="184">
        <v>14</v>
      </c>
      <c r="B51" s="185">
        <v>257114</v>
      </c>
      <c r="C51" s="186">
        <v>1009515</v>
      </c>
      <c r="D51" s="187" t="s">
        <v>509</v>
      </c>
      <c r="E51" s="188" t="s">
        <v>510</v>
      </c>
      <c r="F51" s="188" t="s">
        <v>511</v>
      </c>
      <c r="G51" s="188" t="s">
        <v>15</v>
      </c>
      <c r="H51" s="185">
        <v>161640</v>
      </c>
      <c r="I51" s="188" t="s">
        <v>74</v>
      </c>
    </row>
    <row r="52" spans="1:12" ht="14.1" customHeight="1" x14ac:dyDescent="0.25">
      <c r="A52" s="184">
        <v>59</v>
      </c>
      <c r="B52" s="185">
        <v>231824</v>
      </c>
      <c r="C52" s="186">
        <v>1009215</v>
      </c>
      <c r="D52" s="187" t="s">
        <v>336</v>
      </c>
      <c r="E52" s="188" t="s">
        <v>337</v>
      </c>
      <c r="F52" s="188" t="s">
        <v>338</v>
      </c>
      <c r="G52" s="188" t="s">
        <v>84</v>
      </c>
      <c r="H52" s="185">
        <v>160325</v>
      </c>
      <c r="I52" s="188" t="s">
        <v>35</v>
      </c>
    </row>
    <row r="53" spans="1:12" ht="14.1" customHeight="1" x14ac:dyDescent="0.25">
      <c r="A53" s="184">
        <v>60</v>
      </c>
      <c r="B53" s="185">
        <v>232610</v>
      </c>
      <c r="C53" s="186">
        <v>1009254</v>
      </c>
      <c r="D53" s="187" t="s">
        <v>339</v>
      </c>
      <c r="E53" s="188" t="s">
        <v>340</v>
      </c>
      <c r="F53" s="188" t="s">
        <v>222</v>
      </c>
      <c r="G53" s="188" t="s">
        <v>222</v>
      </c>
      <c r="H53" s="185">
        <v>160325</v>
      </c>
      <c r="I53" s="188" t="s">
        <v>35</v>
      </c>
    </row>
    <row r="54" spans="1:12" ht="14.1" customHeight="1" x14ac:dyDescent="0.25">
      <c r="A54" s="184">
        <v>61</v>
      </c>
      <c r="B54" s="185">
        <v>232865</v>
      </c>
      <c r="C54" s="186">
        <v>1009938</v>
      </c>
      <c r="D54" s="187" t="s">
        <v>341</v>
      </c>
      <c r="E54" s="188" t="s">
        <v>342</v>
      </c>
      <c r="F54" s="188" t="s">
        <v>84</v>
      </c>
      <c r="G54" s="188" t="s">
        <v>84</v>
      </c>
      <c r="H54" s="185">
        <v>160325</v>
      </c>
      <c r="I54" s="188" t="s">
        <v>35</v>
      </c>
    </row>
    <row r="55" spans="1:12" ht="14.1" customHeight="1" x14ac:dyDescent="0.25">
      <c r="A55" s="184">
        <v>62</v>
      </c>
      <c r="B55" s="185">
        <v>233328</v>
      </c>
      <c r="C55" s="186">
        <v>1009598</v>
      </c>
      <c r="D55" s="187" t="s">
        <v>438</v>
      </c>
      <c r="E55" s="188" t="s">
        <v>439</v>
      </c>
      <c r="F55" s="188" t="s">
        <v>440</v>
      </c>
      <c r="G55" s="188" t="s">
        <v>201</v>
      </c>
      <c r="H55" s="185">
        <v>160556</v>
      </c>
      <c r="I55" s="188" t="s">
        <v>422</v>
      </c>
    </row>
    <row r="56" spans="1:12" ht="14.1" customHeight="1" x14ac:dyDescent="0.25">
      <c r="A56" s="184">
        <v>63</v>
      </c>
      <c r="B56" s="185">
        <v>233390</v>
      </c>
      <c r="C56" s="186">
        <v>1009426</v>
      </c>
      <c r="D56" s="187" t="s">
        <v>441</v>
      </c>
      <c r="E56" s="188" t="s">
        <v>401</v>
      </c>
      <c r="F56" s="188" t="s">
        <v>442</v>
      </c>
      <c r="G56" s="188" t="s">
        <v>206</v>
      </c>
      <c r="H56" s="185">
        <v>160556</v>
      </c>
      <c r="I56" s="188" t="s">
        <v>422</v>
      </c>
    </row>
    <row r="57" spans="1:12" ht="14.1" customHeight="1" x14ac:dyDescent="0.25">
      <c r="A57" s="184">
        <v>65</v>
      </c>
      <c r="B57" s="185">
        <v>234199</v>
      </c>
      <c r="C57" s="186">
        <v>1009033</v>
      </c>
      <c r="D57" s="187" t="s">
        <v>443</v>
      </c>
      <c r="E57" s="188" t="s">
        <v>444</v>
      </c>
      <c r="F57" s="188" t="s">
        <v>184</v>
      </c>
      <c r="G57" s="188" t="s">
        <v>184</v>
      </c>
      <c r="H57" s="185">
        <v>160556</v>
      </c>
      <c r="I57" s="188" t="s">
        <v>422</v>
      </c>
    </row>
    <row r="58" spans="1:12" ht="14.1" customHeight="1" x14ac:dyDescent="0.25">
      <c r="A58" s="184">
        <v>67</v>
      </c>
      <c r="B58" s="185">
        <v>260393</v>
      </c>
      <c r="C58" s="186">
        <v>1009122</v>
      </c>
      <c r="D58" s="187" t="s">
        <v>445</v>
      </c>
      <c r="E58" s="188" t="s">
        <v>378</v>
      </c>
      <c r="F58" s="188" t="s">
        <v>44</v>
      </c>
      <c r="G58" s="188" t="s">
        <v>44</v>
      </c>
      <c r="H58" s="185">
        <v>160556</v>
      </c>
      <c r="I58" s="188" t="s">
        <v>422</v>
      </c>
    </row>
    <row r="59" spans="1:12" ht="14.1" customHeight="1" x14ac:dyDescent="0.25">
      <c r="A59" s="184">
        <v>68</v>
      </c>
      <c r="B59" s="185">
        <v>260952</v>
      </c>
      <c r="C59" s="186">
        <v>1009043</v>
      </c>
      <c r="D59" s="187" t="s">
        <v>446</v>
      </c>
      <c r="E59" s="188" t="s">
        <v>447</v>
      </c>
      <c r="F59" s="188" t="s">
        <v>448</v>
      </c>
      <c r="G59" s="188" t="s">
        <v>201</v>
      </c>
      <c r="H59" s="185">
        <v>160556</v>
      </c>
      <c r="I59" s="188" t="s">
        <v>422</v>
      </c>
    </row>
    <row r="60" spans="1:12" ht="14.1" customHeight="1" x14ac:dyDescent="0.25">
      <c r="A60" s="184">
        <v>69</v>
      </c>
      <c r="B60" s="185">
        <v>261506</v>
      </c>
      <c r="C60" s="186">
        <v>1009716</v>
      </c>
      <c r="D60" s="187" t="s">
        <v>312</v>
      </c>
      <c r="E60" s="188" t="s">
        <v>313</v>
      </c>
      <c r="F60" s="188" t="s">
        <v>314</v>
      </c>
      <c r="G60" s="188" t="s">
        <v>49</v>
      </c>
      <c r="H60" s="185">
        <v>160313</v>
      </c>
      <c r="I60" s="188" t="s">
        <v>305</v>
      </c>
    </row>
    <row r="61" spans="1:12" ht="14.1" customHeight="1" x14ac:dyDescent="0.25">
      <c r="A61" s="184">
        <v>70</v>
      </c>
      <c r="B61" s="185">
        <v>262092</v>
      </c>
      <c r="C61" s="186">
        <v>1009252</v>
      </c>
      <c r="D61" s="187" t="s">
        <v>512</v>
      </c>
      <c r="E61" s="188" t="s">
        <v>378</v>
      </c>
      <c r="F61" s="188" t="s">
        <v>27</v>
      </c>
      <c r="G61" s="188" t="s">
        <v>27</v>
      </c>
      <c r="H61" s="185">
        <v>161640</v>
      </c>
      <c r="I61" s="188" t="s">
        <v>74</v>
      </c>
    </row>
    <row r="62" spans="1:12" ht="14.1" customHeight="1" x14ac:dyDescent="0.25">
      <c r="A62" s="184">
        <v>79</v>
      </c>
      <c r="B62" s="185">
        <v>259512</v>
      </c>
      <c r="C62" s="186">
        <v>1009207</v>
      </c>
      <c r="D62" s="187" t="s">
        <v>488</v>
      </c>
      <c r="E62" s="188" t="s">
        <v>489</v>
      </c>
      <c r="F62" s="188" t="s">
        <v>29</v>
      </c>
      <c r="G62" s="188" t="s">
        <v>17</v>
      </c>
      <c r="H62" s="185">
        <v>161627</v>
      </c>
      <c r="I62" s="188" t="s">
        <v>33</v>
      </c>
    </row>
    <row r="63" spans="1:12" ht="14.1" customHeight="1" x14ac:dyDescent="0.25">
      <c r="A63" s="184">
        <v>72</v>
      </c>
      <c r="B63" s="185">
        <v>264313</v>
      </c>
      <c r="C63" s="186">
        <v>1009612</v>
      </c>
      <c r="D63" s="187" t="s">
        <v>513</v>
      </c>
      <c r="E63" s="188" t="s">
        <v>514</v>
      </c>
      <c r="F63" s="188" t="s">
        <v>515</v>
      </c>
      <c r="G63" s="188" t="s">
        <v>27</v>
      </c>
      <c r="H63" s="185">
        <v>161640</v>
      </c>
      <c r="I63" s="188" t="s">
        <v>74</v>
      </c>
    </row>
    <row r="64" spans="1:12" ht="14.1" customHeight="1" x14ac:dyDescent="0.25">
      <c r="A64" s="184">
        <v>73</v>
      </c>
      <c r="B64" s="185">
        <v>265019</v>
      </c>
      <c r="C64" s="186">
        <v>1009353</v>
      </c>
      <c r="D64" s="187" t="s">
        <v>410</v>
      </c>
      <c r="E64" s="188" t="s">
        <v>411</v>
      </c>
      <c r="F64" s="188" t="s">
        <v>412</v>
      </c>
      <c r="G64" s="188" t="s">
        <v>58</v>
      </c>
      <c r="H64" s="185">
        <v>160349</v>
      </c>
      <c r="I64" s="188" t="s">
        <v>36</v>
      </c>
    </row>
    <row r="65" spans="1:9" ht="14.1" customHeight="1" x14ac:dyDescent="0.25">
      <c r="A65" s="184">
        <v>74</v>
      </c>
      <c r="B65" s="185">
        <v>265240</v>
      </c>
      <c r="C65" s="186">
        <v>1009765</v>
      </c>
      <c r="D65" s="187" t="s">
        <v>377</v>
      </c>
      <c r="E65" s="188" t="s">
        <v>378</v>
      </c>
      <c r="F65" s="188" t="s">
        <v>379</v>
      </c>
      <c r="G65" s="188" t="s">
        <v>187</v>
      </c>
      <c r="H65" s="185">
        <v>160337</v>
      </c>
      <c r="I65" s="188" t="s">
        <v>364</v>
      </c>
    </row>
    <row r="66" spans="1:9" ht="14.1" customHeight="1" x14ac:dyDescent="0.25">
      <c r="A66" s="184">
        <v>75</v>
      </c>
      <c r="B66" s="185">
        <v>266164</v>
      </c>
      <c r="C66" s="186">
        <v>1009241</v>
      </c>
      <c r="D66" s="187" t="s">
        <v>380</v>
      </c>
      <c r="E66" s="188" t="s">
        <v>381</v>
      </c>
      <c r="F66" s="188" t="s">
        <v>382</v>
      </c>
      <c r="G66" s="188" t="s">
        <v>187</v>
      </c>
      <c r="H66" s="185">
        <v>160337</v>
      </c>
      <c r="I66" s="188" t="s">
        <v>364</v>
      </c>
    </row>
    <row r="67" spans="1:9" ht="14.1" customHeight="1" x14ac:dyDescent="0.25">
      <c r="A67" s="184">
        <v>80</v>
      </c>
      <c r="B67" s="185">
        <v>267673</v>
      </c>
      <c r="C67" s="186">
        <v>1009439</v>
      </c>
      <c r="D67" s="187" t="s">
        <v>413</v>
      </c>
      <c r="E67" s="188" t="s">
        <v>414</v>
      </c>
      <c r="F67" s="188" t="s">
        <v>414</v>
      </c>
      <c r="G67" s="188" t="s">
        <v>58</v>
      </c>
      <c r="H67" s="185">
        <v>160349</v>
      </c>
      <c r="I67" s="188" t="s">
        <v>36</v>
      </c>
    </row>
    <row r="68" spans="1:9" ht="14.1" customHeight="1" x14ac:dyDescent="0.25">
      <c r="A68" s="184">
        <v>81</v>
      </c>
      <c r="B68" s="185">
        <v>267715</v>
      </c>
      <c r="C68" s="186">
        <v>1009942</v>
      </c>
      <c r="D68" s="187" t="s">
        <v>315</v>
      </c>
      <c r="E68" s="188" t="s">
        <v>309</v>
      </c>
      <c r="F68" s="188" t="s">
        <v>316</v>
      </c>
      <c r="G68" s="188" t="s">
        <v>311</v>
      </c>
      <c r="H68" s="185">
        <v>160313</v>
      </c>
      <c r="I68" s="188" t="s">
        <v>305</v>
      </c>
    </row>
    <row r="69" spans="1:9" ht="14.1" customHeight="1" x14ac:dyDescent="0.25">
      <c r="A69" s="184">
        <v>82</v>
      </c>
      <c r="B69" s="185">
        <v>268343</v>
      </c>
      <c r="C69" s="186">
        <v>1009962</v>
      </c>
      <c r="D69" s="187" t="s">
        <v>343</v>
      </c>
      <c r="E69" s="188" t="s">
        <v>344</v>
      </c>
      <c r="F69" s="188" t="s">
        <v>344</v>
      </c>
      <c r="G69" s="188" t="s">
        <v>19</v>
      </c>
      <c r="H69" s="185">
        <v>160325</v>
      </c>
      <c r="I69" s="188" t="s">
        <v>35</v>
      </c>
    </row>
    <row r="70" spans="1:9" ht="14.1" customHeight="1" x14ac:dyDescent="0.25">
      <c r="A70" s="184">
        <v>83</v>
      </c>
      <c r="B70" s="185">
        <v>268884</v>
      </c>
      <c r="C70" s="186">
        <v>1009377</v>
      </c>
      <c r="D70" s="187" t="s">
        <v>415</v>
      </c>
      <c r="E70" s="188" t="s">
        <v>416</v>
      </c>
      <c r="F70" s="188" t="s">
        <v>208</v>
      </c>
      <c r="G70" s="188" t="s">
        <v>208</v>
      </c>
      <c r="H70" s="185">
        <v>160349</v>
      </c>
      <c r="I70" s="188" t="s">
        <v>36</v>
      </c>
    </row>
    <row r="71" spans="1:9" ht="14.1" customHeight="1" x14ac:dyDescent="0.25">
      <c r="A71" s="184">
        <v>84</v>
      </c>
      <c r="B71" s="185">
        <v>268987</v>
      </c>
      <c r="C71" s="186">
        <v>1009629</v>
      </c>
      <c r="D71" s="187" t="s">
        <v>516</v>
      </c>
      <c r="E71" s="188" t="s">
        <v>517</v>
      </c>
      <c r="F71" s="188" t="s">
        <v>518</v>
      </c>
      <c r="G71" s="188" t="s">
        <v>60</v>
      </c>
      <c r="H71" s="185">
        <v>161640</v>
      </c>
      <c r="I71" s="188" t="s">
        <v>74</v>
      </c>
    </row>
    <row r="72" spans="1:9" ht="14.1" customHeight="1" x14ac:dyDescent="0.25">
      <c r="A72" s="184">
        <v>86</v>
      </c>
      <c r="B72" s="185">
        <v>274999</v>
      </c>
      <c r="C72" s="186">
        <v>1009823</v>
      </c>
      <c r="D72" s="187" t="s">
        <v>449</v>
      </c>
      <c r="E72" s="188" t="s">
        <v>450</v>
      </c>
      <c r="F72" s="188" t="s">
        <v>451</v>
      </c>
      <c r="G72" s="188" t="s">
        <v>21</v>
      </c>
      <c r="H72" s="185">
        <v>160556</v>
      </c>
      <c r="I72" s="188" t="s">
        <v>422</v>
      </c>
    </row>
    <row r="73" spans="1:9" ht="14.1" customHeight="1" x14ac:dyDescent="0.25">
      <c r="A73" s="184">
        <v>88</v>
      </c>
      <c r="B73" s="185">
        <v>275414</v>
      </c>
      <c r="C73" s="186">
        <v>1009378</v>
      </c>
      <c r="D73" s="187" t="s">
        <v>452</v>
      </c>
      <c r="E73" s="188" t="s">
        <v>453</v>
      </c>
      <c r="F73" s="188" t="s">
        <v>454</v>
      </c>
      <c r="G73" s="188" t="s">
        <v>184</v>
      </c>
      <c r="H73" s="185">
        <v>160556</v>
      </c>
      <c r="I73" s="188" t="s">
        <v>422</v>
      </c>
    </row>
    <row r="74" spans="1:9" ht="14.1" customHeight="1" x14ac:dyDescent="0.25">
      <c r="A74" s="184">
        <v>87</v>
      </c>
      <c r="B74" s="185">
        <v>286692</v>
      </c>
      <c r="C74" s="186">
        <v>1009664</v>
      </c>
      <c r="D74" s="187" t="s">
        <v>417</v>
      </c>
      <c r="E74" s="188" t="s">
        <v>418</v>
      </c>
      <c r="F74" s="188" t="s">
        <v>419</v>
      </c>
      <c r="G74" s="188" t="s">
        <v>58</v>
      </c>
      <c r="H74" s="185">
        <v>160349</v>
      </c>
      <c r="I74" s="188" t="s">
        <v>36</v>
      </c>
    </row>
    <row r="75" spans="1:9" ht="14.1" customHeight="1" x14ac:dyDescent="0.25">
      <c r="A75" s="184">
        <v>89</v>
      </c>
      <c r="B75" s="185">
        <v>276431</v>
      </c>
      <c r="C75" s="186">
        <v>1009441</v>
      </c>
      <c r="D75" s="187" t="s">
        <v>455</v>
      </c>
      <c r="E75" s="188" t="s">
        <v>456</v>
      </c>
      <c r="F75" s="188" t="s">
        <v>457</v>
      </c>
      <c r="G75" s="188" t="s">
        <v>206</v>
      </c>
      <c r="H75" s="185">
        <v>160556</v>
      </c>
      <c r="I75" s="188" t="s">
        <v>422</v>
      </c>
    </row>
    <row r="76" spans="1:9" ht="14.1" customHeight="1" x14ac:dyDescent="0.25">
      <c r="A76" s="184">
        <v>91</v>
      </c>
      <c r="B76" s="185">
        <v>276492</v>
      </c>
      <c r="C76" s="186">
        <v>1009060</v>
      </c>
      <c r="D76" s="187" t="s">
        <v>317</v>
      </c>
      <c r="E76" s="188" t="s">
        <v>318</v>
      </c>
      <c r="F76" s="188" t="s">
        <v>319</v>
      </c>
      <c r="G76" s="188" t="s">
        <v>49</v>
      </c>
      <c r="H76" s="185">
        <v>160313</v>
      </c>
      <c r="I76" s="188" t="s">
        <v>305</v>
      </c>
    </row>
    <row r="77" spans="1:9" ht="14.1" customHeight="1" x14ac:dyDescent="0.25">
      <c r="A77" s="184">
        <v>92</v>
      </c>
      <c r="B77" s="185">
        <v>278038</v>
      </c>
      <c r="C77" s="186">
        <v>1009382</v>
      </c>
      <c r="D77" s="187" t="s">
        <v>519</v>
      </c>
      <c r="E77" s="188" t="s">
        <v>520</v>
      </c>
      <c r="F77" s="188" t="s">
        <v>521</v>
      </c>
      <c r="G77" s="188" t="s">
        <v>15</v>
      </c>
      <c r="H77" s="185">
        <v>161640</v>
      </c>
      <c r="I77" s="188" t="s">
        <v>74</v>
      </c>
    </row>
    <row r="78" spans="1:9" ht="14.1" customHeight="1" x14ac:dyDescent="0.25">
      <c r="A78" s="184">
        <v>93</v>
      </c>
      <c r="B78" s="185">
        <v>278932</v>
      </c>
      <c r="C78" s="186">
        <v>1009582</v>
      </c>
      <c r="D78" s="187" t="s">
        <v>490</v>
      </c>
      <c r="E78" s="188" t="s">
        <v>491</v>
      </c>
      <c r="F78" s="188" t="s">
        <v>492</v>
      </c>
      <c r="G78" s="188" t="s">
        <v>17</v>
      </c>
      <c r="H78" s="185">
        <v>161627</v>
      </c>
      <c r="I78" s="188" t="s">
        <v>33</v>
      </c>
    </row>
    <row r="79" spans="1:9" ht="14.1" customHeight="1" x14ac:dyDescent="0.25">
      <c r="A79" s="184">
        <v>94</v>
      </c>
      <c r="B79" s="185">
        <v>257096</v>
      </c>
      <c r="C79" s="186">
        <v>1009275</v>
      </c>
      <c r="D79" s="187" t="s">
        <v>458</v>
      </c>
      <c r="E79" s="188" t="s">
        <v>459</v>
      </c>
      <c r="F79" s="188" t="s">
        <v>460</v>
      </c>
      <c r="G79" s="188" t="s">
        <v>13</v>
      </c>
      <c r="H79" s="185">
        <v>160556</v>
      </c>
      <c r="I79" s="188" t="s">
        <v>422</v>
      </c>
    </row>
    <row r="80" spans="1:9" ht="14.1" customHeight="1" x14ac:dyDescent="0.25">
      <c r="A80" s="184">
        <v>95</v>
      </c>
      <c r="B80" s="185">
        <v>280410</v>
      </c>
      <c r="C80" s="186">
        <v>1009084</v>
      </c>
      <c r="D80" s="187" t="s">
        <v>461</v>
      </c>
      <c r="E80" s="188" t="s">
        <v>401</v>
      </c>
      <c r="F80" s="188" t="s">
        <v>462</v>
      </c>
      <c r="G80" s="188" t="s">
        <v>206</v>
      </c>
      <c r="H80" s="185">
        <v>160556</v>
      </c>
      <c r="I80" s="188" t="s">
        <v>422</v>
      </c>
    </row>
    <row r="81" spans="1:9" ht="14.1" customHeight="1" x14ac:dyDescent="0.25">
      <c r="A81" s="184">
        <v>96</v>
      </c>
      <c r="B81" s="185">
        <v>281270</v>
      </c>
      <c r="C81" s="186">
        <v>1009256</v>
      </c>
      <c r="D81" s="187" t="s">
        <v>522</v>
      </c>
      <c r="E81" s="188" t="s">
        <v>523</v>
      </c>
      <c r="F81" s="188" t="s">
        <v>524</v>
      </c>
      <c r="G81" s="188" t="s">
        <v>63</v>
      </c>
      <c r="H81" s="185">
        <v>161640</v>
      </c>
      <c r="I81" s="188" t="s">
        <v>74</v>
      </c>
    </row>
    <row r="82" spans="1:9" ht="14.1" customHeight="1" x14ac:dyDescent="0.25">
      <c r="A82" s="184">
        <v>98</v>
      </c>
      <c r="B82" s="185">
        <v>281086</v>
      </c>
      <c r="C82" s="186">
        <v>1009869</v>
      </c>
      <c r="D82" s="187" t="s">
        <v>474</v>
      </c>
      <c r="E82" s="188" t="s">
        <v>475</v>
      </c>
      <c r="F82" s="188" t="s">
        <v>476</v>
      </c>
      <c r="G82" s="188" t="s">
        <v>217</v>
      </c>
      <c r="H82" s="185">
        <v>160350</v>
      </c>
      <c r="I82" s="188" t="s">
        <v>470</v>
      </c>
    </row>
    <row r="83" spans="1:9" ht="14.1" customHeight="1" x14ac:dyDescent="0.25">
      <c r="A83" s="184">
        <v>99</v>
      </c>
      <c r="B83" s="185">
        <v>285638</v>
      </c>
      <c r="C83" s="186">
        <v>1009264</v>
      </c>
      <c r="D83" s="187" t="s">
        <v>493</v>
      </c>
      <c r="E83" s="188" t="s">
        <v>378</v>
      </c>
      <c r="F83" s="188" t="s">
        <v>494</v>
      </c>
      <c r="G83" s="188" t="s">
        <v>48</v>
      </c>
      <c r="H83" s="185">
        <v>161627</v>
      </c>
      <c r="I83" s="188" t="s">
        <v>33</v>
      </c>
    </row>
    <row r="84" spans="1:9" ht="14.1" customHeight="1" x14ac:dyDescent="0.25">
      <c r="A84" s="184">
        <v>100</v>
      </c>
      <c r="B84" s="185">
        <v>285780</v>
      </c>
      <c r="C84" s="186">
        <v>1009900</v>
      </c>
      <c r="D84" s="187" t="s">
        <v>463</v>
      </c>
      <c r="E84" s="188" t="s">
        <v>378</v>
      </c>
      <c r="F84" s="188" t="s">
        <v>464</v>
      </c>
      <c r="G84" s="188" t="s">
        <v>206</v>
      </c>
      <c r="H84" s="185">
        <v>160556</v>
      </c>
      <c r="I84" s="188" t="s">
        <v>422</v>
      </c>
    </row>
    <row r="85" spans="1:9" ht="14.1" customHeight="1" x14ac:dyDescent="0.25">
      <c r="A85" s="184">
        <v>101</v>
      </c>
      <c r="B85" s="185">
        <v>282911</v>
      </c>
      <c r="C85" s="186">
        <v>1009006</v>
      </c>
      <c r="D85" s="187" t="s">
        <v>495</v>
      </c>
      <c r="E85" s="188" t="s">
        <v>496</v>
      </c>
      <c r="F85" s="188" t="s">
        <v>497</v>
      </c>
      <c r="G85" s="188" t="s">
        <v>17</v>
      </c>
      <c r="H85" s="185">
        <v>161627</v>
      </c>
      <c r="I85" s="188" t="s">
        <v>33</v>
      </c>
    </row>
    <row r="86" spans="1:9" ht="14.1" customHeight="1" x14ac:dyDescent="0.25">
      <c r="A86" s="184">
        <v>40</v>
      </c>
      <c r="B86" s="185">
        <v>255452</v>
      </c>
      <c r="C86" s="186">
        <v>1009460</v>
      </c>
      <c r="D86" s="187" t="s">
        <v>345</v>
      </c>
      <c r="E86" s="188" t="s">
        <v>346</v>
      </c>
      <c r="F86" s="188" t="s">
        <v>347</v>
      </c>
      <c r="G86" s="188" t="s">
        <v>84</v>
      </c>
      <c r="H86" s="185">
        <v>160325</v>
      </c>
      <c r="I86" s="188" t="s">
        <v>35</v>
      </c>
    </row>
    <row r="87" spans="1:9" ht="14.1" customHeight="1" x14ac:dyDescent="0.25">
      <c r="A87" s="184">
        <v>8</v>
      </c>
      <c r="B87" s="185">
        <v>255671</v>
      </c>
      <c r="C87" s="186">
        <v>1009065</v>
      </c>
      <c r="D87" s="187" t="s">
        <v>383</v>
      </c>
      <c r="E87" s="188" t="s">
        <v>384</v>
      </c>
      <c r="F87" s="188" t="s">
        <v>385</v>
      </c>
      <c r="G87" s="188" t="s">
        <v>187</v>
      </c>
      <c r="H87" s="185">
        <v>160337</v>
      </c>
      <c r="I87" s="188" t="s">
        <v>364</v>
      </c>
    </row>
    <row r="88" spans="1:9" ht="14.1" customHeight="1" x14ac:dyDescent="0.25">
      <c r="A88" s="184">
        <v>52</v>
      </c>
      <c r="B88" s="185">
        <v>257758</v>
      </c>
      <c r="C88" s="186">
        <v>1009535</v>
      </c>
      <c r="D88" s="187" t="s">
        <v>386</v>
      </c>
      <c r="E88" s="188" t="s">
        <v>387</v>
      </c>
      <c r="F88" s="188" t="s">
        <v>187</v>
      </c>
      <c r="G88" s="188" t="s">
        <v>187</v>
      </c>
      <c r="H88" s="185">
        <v>160337</v>
      </c>
      <c r="I88" s="188" t="s">
        <v>364</v>
      </c>
    </row>
    <row r="89" spans="1:9" ht="14.1" customHeight="1" x14ac:dyDescent="0.25">
      <c r="A89" s="184">
        <v>64</v>
      </c>
      <c r="B89" s="185">
        <v>257874</v>
      </c>
      <c r="C89" s="186">
        <v>1009239</v>
      </c>
      <c r="D89" s="187" t="s">
        <v>465</v>
      </c>
      <c r="E89" s="188" t="s">
        <v>466</v>
      </c>
      <c r="F89" s="188" t="s">
        <v>21</v>
      </c>
      <c r="G89" s="188" t="s">
        <v>21</v>
      </c>
      <c r="H89" s="185">
        <v>160556</v>
      </c>
      <c r="I89" s="188" t="s">
        <v>422</v>
      </c>
    </row>
    <row r="90" spans="1:9" x14ac:dyDescent="0.25">
      <c r="C90" s="154">
        <v>1009014</v>
      </c>
      <c r="D90" s="153" t="s">
        <v>525</v>
      </c>
      <c r="F90" s="155" t="s">
        <v>29</v>
      </c>
      <c r="G90" s="155" t="s">
        <v>29</v>
      </c>
      <c r="I90" s="188" t="s">
        <v>33</v>
      </c>
    </row>
    <row r="91" spans="1:9" x14ac:dyDescent="0.25">
      <c r="D91" s="153" t="s">
        <v>272</v>
      </c>
      <c r="I91" s="155" t="s">
        <v>532</v>
      </c>
    </row>
    <row r="92" spans="1:9" ht="14.25" customHeight="1" x14ac:dyDescent="0.25"/>
  </sheetData>
  <autoFilter ref="A1:L91" xr:uid="{00000000-0001-0000-1600-000000000000}"/>
  <sortState xmlns:xlrd2="http://schemas.microsoft.com/office/spreadsheetml/2017/richdata2" ref="A2:L91">
    <sortCondition ref="D2:D91"/>
  </sortState>
  <customSheetViews>
    <customSheetView guid="{7E850ADC-7020-4CE4-9656-1D37A8554340}" topLeftCell="A13">
      <selection activeCell="D14" sqref="D14"/>
      <pageMargins left="0" right="0" top="0" bottom="0" header="0" footer="0"/>
      <pageSetup paperSize="9" orientation="portrait" r:id="rId1"/>
    </customSheetView>
    <customSheetView guid="{6C6D19B4-0AAB-4D39-9585-2246A62E9472}" topLeftCell="A13">
      <selection activeCell="D14" sqref="D14"/>
      <pageMargins left="0" right="0" top="0" bottom="0" header="0" footer="0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B1:G181"/>
  <sheetViews>
    <sheetView tabSelected="1" workbookViewId="0">
      <selection sqref="A1:XFD1048576"/>
    </sheetView>
  </sheetViews>
  <sheetFormatPr defaultColWidth="8.85546875" defaultRowHeight="15" x14ac:dyDescent="0.25"/>
  <cols>
    <col min="2" max="2" width="10.42578125" style="13" customWidth="1"/>
    <col min="3" max="3" width="30.85546875" bestFit="1" customWidth="1"/>
    <col min="4" max="4" width="17.85546875" style="31" customWidth="1"/>
    <col min="5" max="5" width="45.42578125" bestFit="1" customWidth="1"/>
    <col min="6" max="6" width="15.42578125" style="31" customWidth="1"/>
    <col min="7" max="7" width="21.42578125" bestFit="1" customWidth="1"/>
  </cols>
  <sheetData>
    <row r="1" spans="2:7" x14ac:dyDescent="0.25">
      <c r="B1" s="177" t="s">
        <v>243</v>
      </c>
      <c r="C1" s="190" t="s">
        <v>116</v>
      </c>
      <c r="D1" s="178" t="s">
        <v>244</v>
      </c>
      <c r="E1" s="179" t="s">
        <v>245</v>
      </c>
      <c r="F1" s="191" t="s">
        <v>246</v>
      </c>
      <c r="G1" s="190" t="s">
        <v>4</v>
      </c>
    </row>
    <row r="2" spans="2:7" x14ac:dyDescent="0.25">
      <c r="B2" s="254">
        <v>47</v>
      </c>
      <c r="C2" s="259" t="s">
        <v>24</v>
      </c>
      <c r="D2" s="268">
        <v>3</v>
      </c>
      <c r="E2" s="259" t="s">
        <v>38</v>
      </c>
      <c r="F2" s="271">
        <v>16</v>
      </c>
      <c r="G2" s="285" t="s">
        <v>29</v>
      </c>
    </row>
    <row r="3" spans="2:7" x14ac:dyDescent="0.25">
      <c r="B3" s="164">
        <v>48</v>
      </c>
      <c r="C3" s="81" t="s">
        <v>46</v>
      </c>
      <c r="D3" s="82">
        <v>3</v>
      </c>
      <c r="E3" s="81" t="s">
        <v>38</v>
      </c>
      <c r="F3" s="53">
        <v>16</v>
      </c>
      <c r="G3" s="54" t="s">
        <v>29</v>
      </c>
    </row>
    <row r="4" spans="2:7" x14ac:dyDescent="0.25">
      <c r="B4" s="164">
        <v>12</v>
      </c>
      <c r="C4" s="81" t="s">
        <v>11</v>
      </c>
      <c r="D4" s="82">
        <v>3</v>
      </c>
      <c r="E4" s="81" t="s">
        <v>38</v>
      </c>
      <c r="F4" s="33">
        <v>5</v>
      </c>
      <c r="G4" s="34" t="s">
        <v>78</v>
      </c>
    </row>
    <row r="5" spans="2:7" x14ac:dyDescent="0.25">
      <c r="B5" s="164">
        <v>46</v>
      </c>
      <c r="C5" s="81" t="s">
        <v>119</v>
      </c>
      <c r="D5" s="82">
        <v>3</v>
      </c>
      <c r="E5" s="81" t="s">
        <v>38</v>
      </c>
      <c r="F5" s="53">
        <v>16</v>
      </c>
      <c r="G5" s="54" t="s">
        <v>29</v>
      </c>
    </row>
    <row r="6" spans="2:7" x14ac:dyDescent="0.25">
      <c r="B6" s="164">
        <v>50</v>
      </c>
      <c r="C6" s="81" t="s">
        <v>89</v>
      </c>
      <c r="D6" s="82">
        <v>3</v>
      </c>
      <c r="E6" s="81" t="s">
        <v>38</v>
      </c>
      <c r="F6" s="53">
        <v>16</v>
      </c>
      <c r="G6" s="54" t="s">
        <v>29</v>
      </c>
    </row>
    <row r="7" spans="2:7" x14ac:dyDescent="0.25">
      <c r="B7" s="164">
        <v>49</v>
      </c>
      <c r="C7" s="81" t="s">
        <v>59</v>
      </c>
      <c r="D7" s="82">
        <v>3</v>
      </c>
      <c r="E7" s="81" t="s">
        <v>38</v>
      </c>
      <c r="F7" s="53">
        <v>16</v>
      </c>
      <c r="G7" s="54" t="s">
        <v>29</v>
      </c>
    </row>
    <row r="8" spans="2:7" x14ac:dyDescent="0.25">
      <c r="B8" s="164">
        <v>111</v>
      </c>
      <c r="C8" s="262" t="s">
        <v>149</v>
      </c>
      <c r="D8" s="82">
        <v>3</v>
      </c>
      <c r="E8" s="81" t="s">
        <v>38</v>
      </c>
      <c r="F8" s="33">
        <v>5</v>
      </c>
      <c r="G8" s="34" t="s">
        <v>78</v>
      </c>
    </row>
    <row r="9" spans="2:7" x14ac:dyDescent="0.25">
      <c r="B9" s="165">
        <v>177</v>
      </c>
      <c r="C9" s="81" t="s">
        <v>258</v>
      </c>
      <c r="D9" s="82">
        <v>3</v>
      </c>
      <c r="E9" s="81" t="s">
        <v>38</v>
      </c>
      <c r="F9" s="53">
        <v>16</v>
      </c>
      <c r="G9" s="54" t="s">
        <v>29</v>
      </c>
    </row>
    <row r="10" spans="2:7" x14ac:dyDescent="0.25">
      <c r="B10" s="164">
        <v>135</v>
      </c>
      <c r="C10" s="262" t="s">
        <v>268</v>
      </c>
      <c r="D10" s="82">
        <v>3</v>
      </c>
      <c r="E10" s="81" t="s">
        <v>38</v>
      </c>
      <c r="F10" s="53">
        <v>16</v>
      </c>
      <c r="G10" s="54" t="s">
        <v>29</v>
      </c>
    </row>
    <row r="11" spans="2:7" x14ac:dyDescent="0.25">
      <c r="B11" s="164">
        <v>134</v>
      </c>
      <c r="C11" s="262" t="s">
        <v>270</v>
      </c>
      <c r="D11" s="82">
        <v>3</v>
      </c>
      <c r="E11" s="81" t="s">
        <v>38</v>
      </c>
      <c r="F11" s="53">
        <v>16</v>
      </c>
      <c r="G11" s="54" t="s">
        <v>29</v>
      </c>
    </row>
    <row r="12" spans="2:7" x14ac:dyDescent="0.25">
      <c r="B12" s="166">
        <v>21</v>
      </c>
      <c r="C12" s="34" t="s">
        <v>198</v>
      </c>
      <c r="D12" s="33">
        <v>1</v>
      </c>
      <c r="E12" s="34" t="s">
        <v>67</v>
      </c>
      <c r="F12" s="35">
        <v>9</v>
      </c>
      <c r="G12" s="36" t="s">
        <v>49</v>
      </c>
    </row>
    <row r="13" spans="2:7" x14ac:dyDescent="0.25">
      <c r="B13" s="166">
        <v>22</v>
      </c>
      <c r="C13" s="34" t="s">
        <v>88</v>
      </c>
      <c r="D13" s="33">
        <v>1</v>
      </c>
      <c r="E13" s="34" t="s">
        <v>67</v>
      </c>
      <c r="F13" s="35">
        <v>9</v>
      </c>
      <c r="G13" s="36" t="s">
        <v>49</v>
      </c>
    </row>
    <row r="14" spans="2:7" x14ac:dyDescent="0.25">
      <c r="B14" s="166">
        <v>30</v>
      </c>
      <c r="C14" s="34" t="s">
        <v>51</v>
      </c>
      <c r="D14" s="33">
        <v>1</v>
      </c>
      <c r="E14" s="34" t="s">
        <v>67</v>
      </c>
      <c r="F14" s="37">
        <v>28</v>
      </c>
      <c r="G14" s="38" t="s">
        <v>205</v>
      </c>
    </row>
    <row r="15" spans="2:7" x14ac:dyDescent="0.25">
      <c r="B15" s="167">
        <v>20</v>
      </c>
      <c r="C15" s="56" t="s">
        <v>207</v>
      </c>
      <c r="D15" s="55">
        <v>5</v>
      </c>
      <c r="E15" s="34" t="s">
        <v>67</v>
      </c>
      <c r="F15" s="57">
        <v>12</v>
      </c>
      <c r="G15" s="58" t="s">
        <v>50</v>
      </c>
    </row>
    <row r="16" spans="2:7" x14ac:dyDescent="0.25">
      <c r="B16" s="167">
        <v>51</v>
      </c>
      <c r="C16" s="56" t="s">
        <v>150</v>
      </c>
      <c r="D16" s="55">
        <v>5</v>
      </c>
      <c r="E16" s="34" t="s">
        <v>67</v>
      </c>
      <c r="F16" s="59">
        <v>27</v>
      </c>
      <c r="G16" s="60" t="s">
        <v>217</v>
      </c>
    </row>
    <row r="17" spans="2:7" x14ac:dyDescent="0.25">
      <c r="B17" s="166">
        <v>69</v>
      </c>
      <c r="C17" s="34" t="s">
        <v>225</v>
      </c>
      <c r="D17" s="33">
        <v>1</v>
      </c>
      <c r="E17" s="34" t="s">
        <v>67</v>
      </c>
      <c r="F17" s="35">
        <v>9</v>
      </c>
      <c r="G17" s="36" t="s">
        <v>49</v>
      </c>
    </row>
    <row r="18" spans="2:7" x14ac:dyDescent="0.25">
      <c r="B18" s="166">
        <v>81</v>
      </c>
      <c r="C18" s="34" t="s">
        <v>233</v>
      </c>
      <c r="D18" s="33">
        <v>1</v>
      </c>
      <c r="E18" s="34" t="s">
        <v>67</v>
      </c>
      <c r="F18" s="37">
        <v>28</v>
      </c>
      <c r="G18" s="38" t="s">
        <v>205</v>
      </c>
    </row>
    <row r="19" spans="2:7" x14ac:dyDescent="0.25">
      <c r="B19" s="167">
        <v>85</v>
      </c>
      <c r="C19" s="56" t="s">
        <v>236</v>
      </c>
      <c r="D19" s="55">
        <v>5</v>
      </c>
      <c r="E19" s="34" t="s">
        <v>67</v>
      </c>
      <c r="F19" s="59">
        <v>27</v>
      </c>
      <c r="G19" s="60" t="s">
        <v>217</v>
      </c>
    </row>
    <row r="20" spans="2:7" x14ac:dyDescent="0.25">
      <c r="B20" s="166">
        <v>90</v>
      </c>
      <c r="C20" s="34" t="s">
        <v>529</v>
      </c>
      <c r="D20" s="33">
        <v>1</v>
      </c>
      <c r="E20" s="34" t="s">
        <v>67</v>
      </c>
      <c r="F20" s="37">
        <v>28</v>
      </c>
      <c r="G20" s="38" t="s">
        <v>205</v>
      </c>
    </row>
    <row r="21" spans="2:7" x14ac:dyDescent="0.25">
      <c r="B21" s="166">
        <v>91</v>
      </c>
      <c r="C21" s="34" t="s">
        <v>239</v>
      </c>
      <c r="D21" s="33">
        <v>1</v>
      </c>
      <c r="E21" s="34" t="s">
        <v>67</v>
      </c>
      <c r="F21" s="35">
        <v>9</v>
      </c>
      <c r="G21" s="36" t="s">
        <v>49</v>
      </c>
    </row>
    <row r="22" spans="2:7" x14ac:dyDescent="0.25">
      <c r="B22" s="167">
        <v>98</v>
      </c>
      <c r="C22" s="56" t="s">
        <v>133</v>
      </c>
      <c r="D22" s="55">
        <v>5</v>
      </c>
      <c r="E22" s="34" t="s">
        <v>67</v>
      </c>
      <c r="F22" s="59">
        <v>27</v>
      </c>
      <c r="G22" s="60" t="s">
        <v>217</v>
      </c>
    </row>
    <row r="23" spans="2:7" x14ac:dyDescent="0.25">
      <c r="B23" s="166">
        <v>119</v>
      </c>
      <c r="C23" s="260" t="s">
        <v>257</v>
      </c>
      <c r="D23" s="33">
        <v>1</v>
      </c>
      <c r="E23" s="34" t="s">
        <v>67</v>
      </c>
      <c r="F23" s="35">
        <v>9</v>
      </c>
      <c r="G23" s="36" t="s">
        <v>49</v>
      </c>
    </row>
    <row r="24" spans="2:7" x14ac:dyDescent="0.25">
      <c r="B24" s="166">
        <v>121</v>
      </c>
      <c r="C24" s="260" t="s">
        <v>259</v>
      </c>
      <c r="D24" s="33">
        <v>1</v>
      </c>
      <c r="E24" s="34" t="s">
        <v>67</v>
      </c>
      <c r="F24" s="35">
        <v>9</v>
      </c>
      <c r="G24" s="36" t="s">
        <v>49</v>
      </c>
    </row>
    <row r="25" spans="2:7" x14ac:dyDescent="0.25">
      <c r="B25" s="167">
        <v>136</v>
      </c>
      <c r="C25" s="267" t="s">
        <v>148</v>
      </c>
      <c r="D25" s="55">
        <v>5</v>
      </c>
      <c r="E25" s="34" t="s">
        <v>67</v>
      </c>
      <c r="F25" s="59">
        <v>27</v>
      </c>
      <c r="G25" s="60" t="s">
        <v>217</v>
      </c>
    </row>
    <row r="26" spans="2:7" x14ac:dyDescent="0.25">
      <c r="B26" s="167">
        <v>55</v>
      </c>
      <c r="C26" s="56" t="s">
        <v>528</v>
      </c>
      <c r="D26" s="55">
        <v>5</v>
      </c>
      <c r="E26" s="34" t="s">
        <v>67</v>
      </c>
      <c r="F26" s="59">
        <v>27</v>
      </c>
      <c r="G26" s="60" t="s">
        <v>217</v>
      </c>
    </row>
    <row r="27" spans="2:7" x14ac:dyDescent="0.25">
      <c r="B27" s="167">
        <v>148</v>
      </c>
      <c r="C27" s="267" t="s">
        <v>279</v>
      </c>
      <c r="D27" s="55">
        <v>5</v>
      </c>
      <c r="E27" s="34" t="s">
        <v>67</v>
      </c>
      <c r="F27" s="59">
        <v>27</v>
      </c>
      <c r="G27" s="60" t="s">
        <v>217</v>
      </c>
    </row>
    <row r="28" spans="2:7" x14ac:dyDescent="0.25">
      <c r="B28" s="166">
        <v>151</v>
      </c>
      <c r="C28" s="260" t="s">
        <v>281</v>
      </c>
      <c r="D28" s="33">
        <v>1</v>
      </c>
      <c r="E28" s="34" t="s">
        <v>67</v>
      </c>
      <c r="F28" s="35">
        <v>9</v>
      </c>
      <c r="G28" s="36" t="s">
        <v>49</v>
      </c>
    </row>
    <row r="29" spans="2:7" x14ac:dyDescent="0.25">
      <c r="B29" s="167">
        <v>159</v>
      </c>
      <c r="C29" s="267" t="s">
        <v>288</v>
      </c>
      <c r="D29" s="55">
        <v>5</v>
      </c>
      <c r="E29" s="34" t="s">
        <v>67</v>
      </c>
      <c r="F29" s="59">
        <v>27</v>
      </c>
      <c r="G29" s="60" t="s">
        <v>217</v>
      </c>
    </row>
    <row r="30" spans="2:7" x14ac:dyDescent="0.25">
      <c r="B30" s="167">
        <v>164</v>
      </c>
      <c r="C30" s="267" t="s">
        <v>16</v>
      </c>
      <c r="D30" s="55">
        <v>5</v>
      </c>
      <c r="E30" s="34" t="s">
        <v>67</v>
      </c>
      <c r="F30" s="59">
        <v>27</v>
      </c>
      <c r="G30" s="60" t="s">
        <v>217</v>
      </c>
    </row>
    <row r="31" spans="2:7" x14ac:dyDescent="0.25">
      <c r="B31" s="166">
        <v>165</v>
      </c>
      <c r="C31" s="260" t="s">
        <v>290</v>
      </c>
      <c r="D31" s="33">
        <v>1</v>
      </c>
      <c r="E31" s="34" t="s">
        <v>67</v>
      </c>
      <c r="F31" s="37">
        <v>28</v>
      </c>
      <c r="G31" s="38" t="s">
        <v>205</v>
      </c>
    </row>
    <row r="32" spans="2:7" ht="14.25" customHeight="1" x14ac:dyDescent="0.25">
      <c r="B32" s="166">
        <v>167</v>
      </c>
      <c r="C32" s="260" t="s">
        <v>292</v>
      </c>
      <c r="D32" s="33">
        <v>1</v>
      </c>
      <c r="E32" s="34" t="s">
        <v>67</v>
      </c>
      <c r="F32" s="37">
        <v>28</v>
      </c>
      <c r="G32" s="38" t="s">
        <v>205</v>
      </c>
    </row>
    <row r="33" spans="2:7" x14ac:dyDescent="0.25">
      <c r="B33" s="168">
        <v>3</v>
      </c>
      <c r="C33" s="40" t="s">
        <v>52</v>
      </c>
      <c r="D33" s="39">
        <v>2</v>
      </c>
      <c r="E33" s="40" t="s">
        <v>35</v>
      </c>
      <c r="F33" s="45">
        <v>14</v>
      </c>
      <c r="G33" s="46" t="s">
        <v>19</v>
      </c>
    </row>
    <row r="34" spans="2:7" x14ac:dyDescent="0.25">
      <c r="B34" s="168">
        <v>4</v>
      </c>
      <c r="C34" s="40" t="s">
        <v>155</v>
      </c>
      <c r="D34" s="39">
        <v>2</v>
      </c>
      <c r="E34" s="40" t="s">
        <v>35</v>
      </c>
      <c r="F34" s="49">
        <v>20</v>
      </c>
      <c r="G34" s="50" t="s">
        <v>84</v>
      </c>
    </row>
    <row r="35" spans="2:7" x14ac:dyDescent="0.25">
      <c r="B35" s="168">
        <v>13</v>
      </c>
      <c r="C35" s="40" t="s">
        <v>192</v>
      </c>
      <c r="D35" s="39">
        <v>2</v>
      </c>
      <c r="E35" s="40" t="s">
        <v>35</v>
      </c>
      <c r="F35" s="45">
        <v>14</v>
      </c>
      <c r="G35" s="46" t="s">
        <v>19</v>
      </c>
    </row>
    <row r="36" spans="2:7" x14ac:dyDescent="0.25">
      <c r="B36" s="168">
        <v>16</v>
      </c>
      <c r="C36" s="40" t="s">
        <v>25</v>
      </c>
      <c r="D36" s="39">
        <v>2</v>
      </c>
      <c r="E36" s="40" t="s">
        <v>35</v>
      </c>
      <c r="F36" s="41">
        <v>7</v>
      </c>
      <c r="G36" s="42" t="s">
        <v>194</v>
      </c>
    </row>
    <row r="37" spans="2:7" x14ac:dyDescent="0.25">
      <c r="B37" s="168">
        <v>17</v>
      </c>
      <c r="C37" s="40" t="s">
        <v>195</v>
      </c>
      <c r="D37" s="39">
        <v>2</v>
      </c>
      <c r="E37" s="40" t="s">
        <v>35</v>
      </c>
      <c r="F37" s="43">
        <v>8</v>
      </c>
      <c r="G37" s="44" t="s">
        <v>196</v>
      </c>
    </row>
    <row r="38" spans="2:7" x14ac:dyDescent="0.25">
      <c r="B38" s="168">
        <v>18</v>
      </c>
      <c r="C38" s="40" t="s">
        <v>18</v>
      </c>
      <c r="D38" s="39">
        <v>2</v>
      </c>
      <c r="E38" s="40" t="s">
        <v>35</v>
      </c>
      <c r="F38" s="45">
        <v>14</v>
      </c>
      <c r="G38" s="46" t="s">
        <v>19</v>
      </c>
    </row>
    <row r="39" spans="2:7" x14ac:dyDescent="0.25">
      <c r="B39" s="168">
        <v>25</v>
      </c>
      <c r="C39" s="40" t="s">
        <v>202</v>
      </c>
      <c r="D39" s="39">
        <v>2</v>
      </c>
      <c r="E39" s="40" t="s">
        <v>35</v>
      </c>
      <c r="F39" s="49">
        <v>20</v>
      </c>
      <c r="G39" s="50" t="s">
        <v>84</v>
      </c>
    </row>
    <row r="40" spans="2:7" x14ac:dyDescent="0.25">
      <c r="B40" s="168">
        <v>172</v>
      </c>
      <c r="C40" s="150" t="s">
        <v>23</v>
      </c>
      <c r="D40" s="39">
        <v>2</v>
      </c>
      <c r="E40" s="40" t="s">
        <v>35</v>
      </c>
      <c r="F40" s="45">
        <v>14</v>
      </c>
      <c r="G40" s="46" t="s">
        <v>19</v>
      </c>
    </row>
    <row r="41" spans="2:7" x14ac:dyDescent="0.25">
      <c r="B41" s="168">
        <v>40</v>
      </c>
      <c r="C41" s="40" t="s">
        <v>213</v>
      </c>
      <c r="D41" s="39">
        <v>2</v>
      </c>
      <c r="E41" s="40" t="s">
        <v>35</v>
      </c>
      <c r="F41" s="43">
        <v>8</v>
      </c>
      <c r="G41" s="44" t="s">
        <v>196</v>
      </c>
    </row>
    <row r="42" spans="2:7" x14ac:dyDescent="0.25">
      <c r="B42" s="168">
        <v>41</v>
      </c>
      <c r="C42" s="40" t="s">
        <v>214</v>
      </c>
      <c r="D42" s="39">
        <v>2</v>
      </c>
      <c r="E42" s="40" t="s">
        <v>35</v>
      </c>
      <c r="F42" s="43">
        <v>8</v>
      </c>
      <c r="G42" s="44" t="s">
        <v>196</v>
      </c>
    </row>
    <row r="43" spans="2:7" x14ac:dyDescent="0.25">
      <c r="B43" s="168">
        <v>54</v>
      </c>
      <c r="C43" s="40" t="s">
        <v>53</v>
      </c>
      <c r="D43" s="39">
        <v>2</v>
      </c>
      <c r="E43" s="40" t="s">
        <v>35</v>
      </c>
      <c r="F43" s="43">
        <v>8</v>
      </c>
      <c r="G43" s="44" t="s">
        <v>196</v>
      </c>
    </row>
    <row r="44" spans="2:7" x14ac:dyDescent="0.25">
      <c r="B44" s="168">
        <v>59</v>
      </c>
      <c r="C44" s="40" t="s">
        <v>220</v>
      </c>
      <c r="D44" s="39">
        <v>2</v>
      </c>
      <c r="E44" s="40" t="s">
        <v>35</v>
      </c>
      <c r="F44" s="49">
        <v>20</v>
      </c>
      <c r="G44" s="50" t="s">
        <v>84</v>
      </c>
    </row>
    <row r="45" spans="2:7" x14ac:dyDescent="0.25">
      <c r="B45" s="168">
        <v>60</v>
      </c>
      <c r="C45" s="40" t="s">
        <v>221</v>
      </c>
      <c r="D45" s="39">
        <v>2</v>
      </c>
      <c r="E45" s="40" t="s">
        <v>35</v>
      </c>
      <c r="F45" s="47">
        <v>19</v>
      </c>
      <c r="G45" s="48" t="s">
        <v>222</v>
      </c>
    </row>
    <row r="46" spans="2:7" x14ac:dyDescent="0.25">
      <c r="B46" s="168">
        <v>61</v>
      </c>
      <c r="C46" s="40" t="s">
        <v>122</v>
      </c>
      <c r="D46" s="39">
        <v>2</v>
      </c>
      <c r="E46" s="40" t="s">
        <v>35</v>
      </c>
      <c r="F46" s="49">
        <v>20</v>
      </c>
      <c r="G46" s="50" t="s">
        <v>84</v>
      </c>
    </row>
    <row r="47" spans="2:7" x14ac:dyDescent="0.25">
      <c r="B47" s="168">
        <v>82</v>
      </c>
      <c r="C47" s="40" t="s">
        <v>234</v>
      </c>
      <c r="D47" s="39">
        <v>2</v>
      </c>
      <c r="E47" s="40" t="s">
        <v>35</v>
      </c>
      <c r="F47" s="45">
        <v>14</v>
      </c>
      <c r="G47" s="46" t="s">
        <v>19</v>
      </c>
    </row>
    <row r="48" spans="2:7" x14ac:dyDescent="0.25">
      <c r="B48" s="168">
        <v>104</v>
      </c>
      <c r="C48" s="150" t="s">
        <v>249</v>
      </c>
      <c r="D48" s="39">
        <v>2</v>
      </c>
      <c r="E48" s="40" t="s">
        <v>35</v>
      </c>
      <c r="F48" s="45">
        <v>14</v>
      </c>
      <c r="G48" s="46" t="s">
        <v>19</v>
      </c>
    </row>
    <row r="49" spans="2:7" x14ac:dyDescent="0.25">
      <c r="B49" s="168">
        <v>112</v>
      </c>
      <c r="C49" s="150" t="s">
        <v>132</v>
      </c>
      <c r="D49" s="39">
        <v>2</v>
      </c>
      <c r="E49" s="40" t="s">
        <v>35</v>
      </c>
      <c r="F49" s="45">
        <v>14</v>
      </c>
      <c r="G49" s="46" t="s">
        <v>19</v>
      </c>
    </row>
    <row r="50" spans="2:7" x14ac:dyDescent="0.25">
      <c r="B50" s="168">
        <v>115</v>
      </c>
      <c r="C50" s="150" t="s">
        <v>255</v>
      </c>
      <c r="D50" s="39">
        <v>2</v>
      </c>
      <c r="E50" s="40" t="s">
        <v>35</v>
      </c>
      <c r="F50" s="41">
        <v>7</v>
      </c>
      <c r="G50" s="42" t="s">
        <v>194</v>
      </c>
    </row>
    <row r="51" spans="2:7" x14ac:dyDescent="0.25">
      <c r="B51" s="168">
        <v>116</v>
      </c>
      <c r="C51" s="150" t="s">
        <v>158</v>
      </c>
      <c r="D51" s="39">
        <v>2</v>
      </c>
      <c r="E51" s="40" t="s">
        <v>35</v>
      </c>
      <c r="F51" s="41">
        <v>7</v>
      </c>
      <c r="G51" s="42" t="s">
        <v>194</v>
      </c>
    </row>
    <row r="52" spans="2:7" x14ac:dyDescent="0.25">
      <c r="B52" s="168">
        <v>117</v>
      </c>
      <c r="C52" s="150" t="s">
        <v>256</v>
      </c>
      <c r="D52" s="39">
        <v>2</v>
      </c>
      <c r="E52" s="40" t="s">
        <v>35</v>
      </c>
      <c r="F52" s="43">
        <v>8</v>
      </c>
      <c r="G52" s="44" t="s">
        <v>196</v>
      </c>
    </row>
    <row r="53" spans="2:7" x14ac:dyDescent="0.25">
      <c r="B53" s="168">
        <v>118</v>
      </c>
      <c r="C53" s="150" t="s">
        <v>72</v>
      </c>
      <c r="D53" s="39">
        <v>2</v>
      </c>
      <c r="E53" s="40" t="s">
        <v>35</v>
      </c>
      <c r="F53" s="45">
        <v>14</v>
      </c>
      <c r="G53" s="46" t="s">
        <v>19</v>
      </c>
    </row>
    <row r="54" spans="2:7" x14ac:dyDescent="0.25">
      <c r="B54" s="168">
        <v>126</v>
      </c>
      <c r="C54" s="150" t="s">
        <v>157</v>
      </c>
      <c r="D54" s="39">
        <v>2</v>
      </c>
      <c r="E54" s="40" t="s">
        <v>35</v>
      </c>
      <c r="F54" s="45">
        <v>14</v>
      </c>
      <c r="G54" s="46" t="s">
        <v>19</v>
      </c>
    </row>
    <row r="55" spans="2:7" x14ac:dyDescent="0.25">
      <c r="B55" s="168">
        <v>142</v>
      </c>
      <c r="C55" s="150" t="s">
        <v>275</v>
      </c>
      <c r="D55" s="39">
        <v>2</v>
      </c>
      <c r="E55" s="40" t="s">
        <v>35</v>
      </c>
      <c r="F55" s="49">
        <v>20</v>
      </c>
      <c r="G55" s="50" t="s">
        <v>84</v>
      </c>
    </row>
    <row r="56" spans="2:7" x14ac:dyDescent="0.25">
      <c r="B56" s="168">
        <v>143</v>
      </c>
      <c r="C56" s="150" t="s">
        <v>276</v>
      </c>
      <c r="D56" s="39">
        <v>2</v>
      </c>
      <c r="E56" s="40" t="s">
        <v>35</v>
      </c>
      <c r="F56" s="47">
        <v>19</v>
      </c>
      <c r="G56" s="48" t="s">
        <v>222</v>
      </c>
    </row>
    <row r="57" spans="2:7" x14ac:dyDescent="0.25">
      <c r="B57" s="168">
        <v>144</v>
      </c>
      <c r="C57" s="150" t="s">
        <v>277</v>
      </c>
      <c r="D57" s="39">
        <v>2</v>
      </c>
      <c r="E57" s="40" t="s">
        <v>35</v>
      </c>
      <c r="F57" s="49">
        <v>20</v>
      </c>
      <c r="G57" s="50" t="s">
        <v>84</v>
      </c>
    </row>
    <row r="58" spans="2:7" x14ac:dyDescent="0.25">
      <c r="B58" s="169">
        <v>5</v>
      </c>
      <c r="C58" s="72" t="s">
        <v>134</v>
      </c>
      <c r="D58" s="71">
        <v>8</v>
      </c>
      <c r="E58" s="72" t="s">
        <v>36</v>
      </c>
      <c r="F58" s="73">
        <v>1</v>
      </c>
      <c r="G58" s="74" t="s">
        <v>9</v>
      </c>
    </row>
    <row r="59" spans="2:7" x14ac:dyDescent="0.25">
      <c r="B59" s="169">
        <v>15</v>
      </c>
      <c r="C59" s="72" t="s">
        <v>10</v>
      </c>
      <c r="D59" s="71">
        <v>8</v>
      </c>
      <c r="E59" s="72" t="s">
        <v>36</v>
      </c>
      <c r="F59" s="73">
        <v>1</v>
      </c>
      <c r="G59" s="74" t="s">
        <v>9</v>
      </c>
    </row>
    <row r="60" spans="2:7" x14ac:dyDescent="0.25">
      <c r="B60" s="169">
        <v>26</v>
      </c>
      <c r="C60" s="72" t="s">
        <v>8</v>
      </c>
      <c r="D60" s="71">
        <v>8</v>
      </c>
      <c r="E60" s="72" t="s">
        <v>36</v>
      </c>
      <c r="F60" s="73">
        <v>1</v>
      </c>
      <c r="G60" s="74" t="s">
        <v>9</v>
      </c>
    </row>
    <row r="61" spans="2:7" x14ac:dyDescent="0.25">
      <c r="B61" s="169">
        <v>27</v>
      </c>
      <c r="C61" s="72" t="s">
        <v>30</v>
      </c>
      <c r="D61" s="71">
        <v>8</v>
      </c>
      <c r="E61" s="72" t="s">
        <v>36</v>
      </c>
      <c r="F61" s="73">
        <v>1</v>
      </c>
      <c r="G61" s="74" t="s">
        <v>9</v>
      </c>
    </row>
    <row r="62" spans="2:7" x14ac:dyDescent="0.25">
      <c r="B62" s="169">
        <v>32</v>
      </c>
      <c r="C62" s="72" t="s">
        <v>125</v>
      </c>
      <c r="D62" s="71">
        <v>8</v>
      </c>
      <c r="E62" s="72" t="s">
        <v>36</v>
      </c>
      <c r="F62" s="76">
        <v>26</v>
      </c>
      <c r="G62" s="77" t="s">
        <v>208</v>
      </c>
    </row>
    <row r="63" spans="2:7" x14ac:dyDescent="0.25">
      <c r="B63" s="169">
        <v>36</v>
      </c>
      <c r="C63" s="72" t="s">
        <v>211</v>
      </c>
      <c r="D63" s="71">
        <v>8</v>
      </c>
      <c r="E63" s="72" t="s">
        <v>36</v>
      </c>
      <c r="F63" s="73">
        <v>1</v>
      </c>
      <c r="G63" s="74" t="s">
        <v>9</v>
      </c>
    </row>
    <row r="64" spans="2:7" x14ac:dyDescent="0.25">
      <c r="B64" s="169">
        <v>43</v>
      </c>
      <c r="C64" s="72" t="s">
        <v>130</v>
      </c>
      <c r="D64" s="71">
        <v>8</v>
      </c>
      <c r="E64" s="72" t="s">
        <v>36</v>
      </c>
      <c r="F64" s="75">
        <v>18</v>
      </c>
      <c r="G64" s="32" t="s">
        <v>58</v>
      </c>
    </row>
    <row r="65" spans="2:7" x14ac:dyDescent="0.25">
      <c r="B65" s="169">
        <v>56</v>
      </c>
      <c r="C65" s="72" t="s">
        <v>57</v>
      </c>
      <c r="D65" s="71">
        <v>8</v>
      </c>
      <c r="E65" s="72" t="s">
        <v>36</v>
      </c>
      <c r="F65" s="75">
        <v>18</v>
      </c>
      <c r="G65" s="32" t="s">
        <v>58</v>
      </c>
    </row>
    <row r="66" spans="2:7" x14ac:dyDescent="0.25">
      <c r="B66" s="169">
        <v>57</v>
      </c>
      <c r="C66" s="72" t="s">
        <v>42</v>
      </c>
      <c r="D66" s="71">
        <v>8</v>
      </c>
      <c r="E66" s="72" t="s">
        <v>36</v>
      </c>
      <c r="F66" s="75">
        <v>18</v>
      </c>
      <c r="G66" s="32" t="s">
        <v>58</v>
      </c>
    </row>
    <row r="67" spans="2:7" x14ac:dyDescent="0.25">
      <c r="B67" s="169">
        <v>73</v>
      </c>
      <c r="C67" s="72" t="s">
        <v>165</v>
      </c>
      <c r="D67" s="71">
        <v>8</v>
      </c>
      <c r="E67" s="72" t="s">
        <v>36</v>
      </c>
      <c r="F67" s="75">
        <v>18</v>
      </c>
      <c r="G67" s="32" t="s">
        <v>58</v>
      </c>
    </row>
    <row r="68" spans="2:7" x14ac:dyDescent="0.25">
      <c r="B68" s="169">
        <v>80</v>
      </c>
      <c r="C68" s="72" t="s">
        <v>232</v>
      </c>
      <c r="D68" s="71">
        <v>8</v>
      </c>
      <c r="E68" s="72" t="s">
        <v>36</v>
      </c>
      <c r="F68" s="75">
        <v>18</v>
      </c>
      <c r="G68" s="32" t="s">
        <v>58</v>
      </c>
    </row>
    <row r="69" spans="2:7" x14ac:dyDescent="0.25">
      <c r="B69" s="169">
        <v>83</v>
      </c>
      <c r="C69" s="72" t="s">
        <v>235</v>
      </c>
      <c r="D69" s="71">
        <v>8</v>
      </c>
      <c r="E69" s="72" t="s">
        <v>36</v>
      </c>
      <c r="F69" s="76">
        <v>26</v>
      </c>
      <c r="G69" s="77" t="s">
        <v>208</v>
      </c>
    </row>
    <row r="70" spans="2:7" x14ac:dyDescent="0.25">
      <c r="B70" s="169">
        <v>87</v>
      </c>
      <c r="C70" s="72" t="s">
        <v>237</v>
      </c>
      <c r="D70" s="71">
        <v>8</v>
      </c>
      <c r="E70" s="72" t="s">
        <v>36</v>
      </c>
      <c r="F70" s="75">
        <v>18</v>
      </c>
      <c r="G70" s="32" t="s">
        <v>58</v>
      </c>
    </row>
    <row r="71" spans="2:7" x14ac:dyDescent="0.25">
      <c r="B71" s="169">
        <v>105</v>
      </c>
      <c r="C71" s="264" t="s">
        <v>250</v>
      </c>
      <c r="D71" s="71">
        <v>8</v>
      </c>
      <c r="E71" s="72" t="s">
        <v>36</v>
      </c>
      <c r="F71" s="73">
        <v>1</v>
      </c>
      <c r="G71" s="74" t="s">
        <v>9</v>
      </c>
    </row>
    <row r="72" spans="2:7" x14ac:dyDescent="0.25">
      <c r="B72" s="169">
        <v>109</v>
      </c>
      <c r="C72" s="264" t="s">
        <v>253</v>
      </c>
      <c r="D72" s="71">
        <v>8</v>
      </c>
      <c r="E72" s="72" t="s">
        <v>36</v>
      </c>
      <c r="F72" s="75">
        <v>18</v>
      </c>
      <c r="G72" s="32" t="s">
        <v>58</v>
      </c>
    </row>
    <row r="73" spans="2:7" x14ac:dyDescent="0.25">
      <c r="B73" s="169">
        <v>114</v>
      </c>
      <c r="C73" s="264" t="s">
        <v>254</v>
      </c>
      <c r="D73" s="71">
        <v>8</v>
      </c>
      <c r="E73" s="72" t="s">
        <v>36</v>
      </c>
      <c r="F73" s="73">
        <v>1</v>
      </c>
      <c r="G73" s="74" t="s">
        <v>9</v>
      </c>
    </row>
    <row r="74" spans="2:7" x14ac:dyDescent="0.25">
      <c r="B74" s="169">
        <v>124</v>
      </c>
      <c r="C74" s="264" t="s">
        <v>159</v>
      </c>
      <c r="D74" s="71">
        <v>8</v>
      </c>
      <c r="E74" s="72" t="s">
        <v>36</v>
      </c>
      <c r="F74" s="73">
        <v>1</v>
      </c>
      <c r="G74" s="74" t="s">
        <v>9</v>
      </c>
    </row>
    <row r="75" spans="2:7" x14ac:dyDescent="0.25">
      <c r="B75" s="169">
        <v>131</v>
      </c>
      <c r="C75" s="264" t="s">
        <v>79</v>
      </c>
      <c r="D75" s="71">
        <v>8</v>
      </c>
      <c r="E75" s="72" t="s">
        <v>36</v>
      </c>
      <c r="F75" s="75">
        <v>18</v>
      </c>
      <c r="G75" s="32" t="s">
        <v>58</v>
      </c>
    </row>
    <row r="76" spans="2:7" x14ac:dyDescent="0.25">
      <c r="B76" s="169">
        <v>133</v>
      </c>
      <c r="C76" s="264" t="s">
        <v>269</v>
      </c>
      <c r="D76" s="71">
        <v>8</v>
      </c>
      <c r="E76" s="72" t="s">
        <v>36</v>
      </c>
      <c r="F76" s="75">
        <v>18</v>
      </c>
      <c r="G76" s="32" t="s">
        <v>58</v>
      </c>
    </row>
    <row r="77" spans="2:7" x14ac:dyDescent="0.25">
      <c r="B77" s="169">
        <v>139</v>
      </c>
      <c r="C77" s="264" t="s">
        <v>156</v>
      </c>
      <c r="D77" s="71">
        <v>8</v>
      </c>
      <c r="E77" s="72" t="s">
        <v>36</v>
      </c>
      <c r="F77" s="75">
        <v>18</v>
      </c>
      <c r="G77" s="32" t="s">
        <v>58</v>
      </c>
    </row>
    <row r="78" spans="2:7" x14ac:dyDescent="0.25">
      <c r="B78" s="169">
        <v>140</v>
      </c>
      <c r="C78" s="264" t="s">
        <v>273</v>
      </c>
      <c r="D78" s="71">
        <v>8</v>
      </c>
      <c r="E78" s="72" t="s">
        <v>36</v>
      </c>
      <c r="F78" s="75">
        <v>18</v>
      </c>
      <c r="G78" s="32" t="s">
        <v>58</v>
      </c>
    </row>
    <row r="79" spans="2:7" x14ac:dyDescent="0.25">
      <c r="B79" s="169">
        <v>141</v>
      </c>
      <c r="C79" s="264" t="s">
        <v>274</v>
      </c>
      <c r="D79" s="71">
        <v>8</v>
      </c>
      <c r="E79" s="72" t="s">
        <v>36</v>
      </c>
      <c r="F79" s="75">
        <v>18</v>
      </c>
      <c r="G79" s="32" t="s">
        <v>58</v>
      </c>
    </row>
    <row r="80" spans="2:7" x14ac:dyDescent="0.25">
      <c r="B80" s="169">
        <v>150</v>
      </c>
      <c r="C80" s="264" t="s">
        <v>280</v>
      </c>
      <c r="D80" s="71">
        <v>8</v>
      </c>
      <c r="E80" s="72" t="s">
        <v>36</v>
      </c>
      <c r="F80" s="75">
        <v>18</v>
      </c>
      <c r="G80" s="32" t="s">
        <v>58</v>
      </c>
    </row>
    <row r="81" spans="2:7" x14ac:dyDescent="0.25">
      <c r="B81" s="169">
        <v>155</v>
      </c>
      <c r="C81" s="264" t="s">
        <v>284</v>
      </c>
      <c r="D81" s="71">
        <v>8</v>
      </c>
      <c r="E81" s="72" t="s">
        <v>36</v>
      </c>
      <c r="F81" s="75">
        <v>18</v>
      </c>
      <c r="G81" s="32" t="s">
        <v>58</v>
      </c>
    </row>
    <row r="82" spans="2:7" x14ac:dyDescent="0.25">
      <c r="B82" s="169">
        <v>180</v>
      </c>
      <c r="C82" s="264" t="s">
        <v>534</v>
      </c>
      <c r="D82" s="71">
        <v>8</v>
      </c>
      <c r="E82" s="72" t="s">
        <v>36</v>
      </c>
      <c r="F82" s="75">
        <v>18</v>
      </c>
      <c r="G82" s="32" t="s">
        <v>58</v>
      </c>
    </row>
    <row r="83" spans="2:7" x14ac:dyDescent="0.25">
      <c r="B83" s="169">
        <v>160</v>
      </c>
      <c r="C83" s="264" t="s">
        <v>289</v>
      </c>
      <c r="D83" s="71">
        <v>8</v>
      </c>
      <c r="E83" s="72" t="s">
        <v>36</v>
      </c>
      <c r="F83" s="76">
        <v>26</v>
      </c>
      <c r="G83" s="77" t="s">
        <v>208</v>
      </c>
    </row>
    <row r="84" spans="2:7" x14ac:dyDescent="0.25">
      <c r="B84" s="169">
        <v>174</v>
      </c>
      <c r="C84" s="72" t="s">
        <v>146</v>
      </c>
      <c r="D84" s="71">
        <v>9</v>
      </c>
      <c r="E84" s="72" t="s">
        <v>36</v>
      </c>
      <c r="F84" s="75">
        <v>18</v>
      </c>
      <c r="G84" s="32" t="s">
        <v>58</v>
      </c>
    </row>
    <row r="85" spans="2:7" x14ac:dyDescent="0.25">
      <c r="B85" s="255">
        <v>70</v>
      </c>
      <c r="C85" s="62" t="s">
        <v>526</v>
      </c>
      <c r="D85" s="61">
        <v>6</v>
      </c>
      <c r="E85" s="62" t="s">
        <v>37</v>
      </c>
      <c r="F85" s="67">
        <v>24</v>
      </c>
      <c r="G85" s="68" t="s">
        <v>27</v>
      </c>
    </row>
    <row r="86" spans="2:7" x14ac:dyDescent="0.25">
      <c r="B86" s="255">
        <v>179</v>
      </c>
      <c r="C86" s="62" t="s">
        <v>14</v>
      </c>
      <c r="D86" s="61">
        <v>6</v>
      </c>
      <c r="E86" s="62" t="s">
        <v>37</v>
      </c>
      <c r="F86" s="163">
        <v>6</v>
      </c>
      <c r="G86" s="162" t="s">
        <v>15</v>
      </c>
    </row>
    <row r="87" spans="2:7" x14ac:dyDescent="0.25">
      <c r="B87" s="170">
        <v>175</v>
      </c>
      <c r="C87" s="62" t="s">
        <v>26</v>
      </c>
      <c r="D87" s="61">
        <v>6</v>
      </c>
      <c r="E87" s="62" t="s">
        <v>37</v>
      </c>
      <c r="F87" s="163">
        <v>24</v>
      </c>
      <c r="G87" s="162" t="s">
        <v>27</v>
      </c>
    </row>
    <row r="88" spans="2:7" x14ac:dyDescent="0.25">
      <c r="B88" s="170">
        <v>6</v>
      </c>
      <c r="C88" s="62" t="s">
        <v>190</v>
      </c>
      <c r="D88" s="61">
        <v>6</v>
      </c>
      <c r="E88" s="62" t="s">
        <v>37</v>
      </c>
      <c r="F88" s="65">
        <v>6</v>
      </c>
      <c r="G88" s="66" t="s">
        <v>15</v>
      </c>
    </row>
    <row r="89" spans="2:7" x14ac:dyDescent="0.25">
      <c r="B89" s="170">
        <v>10</v>
      </c>
      <c r="C89" s="62" t="s">
        <v>62</v>
      </c>
      <c r="D89" s="61">
        <v>6</v>
      </c>
      <c r="E89" s="62" t="s">
        <v>37</v>
      </c>
      <c r="F89" s="63">
        <v>3</v>
      </c>
      <c r="G89" s="64" t="s">
        <v>63</v>
      </c>
    </row>
    <row r="90" spans="2:7" x14ac:dyDescent="0.25">
      <c r="B90" s="170">
        <v>14</v>
      </c>
      <c r="C90" s="62" t="s">
        <v>193</v>
      </c>
      <c r="D90" s="61">
        <v>6</v>
      </c>
      <c r="E90" s="62" t="s">
        <v>37</v>
      </c>
      <c r="F90" s="65">
        <v>6</v>
      </c>
      <c r="G90" s="66" t="s">
        <v>15</v>
      </c>
    </row>
    <row r="91" spans="2:7" x14ac:dyDescent="0.25">
      <c r="B91" s="170">
        <v>34</v>
      </c>
      <c r="C91" s="62" t="s">
        <v>209</v>
      </c>
      <c r="D91" s="61">
        <v>6</v>
      </c>
      <c r="E91" s="62" t="s">
        <v>37</v>
      </c>
      <c r="F91" s="51">
        <v>15</v>
      </c>
      <c r="G91" s="52" t="s">
        <v>60</v>
      </c>
    </row>
    <row r="92" spans="2:7" x14ac:dyDescent="0.25">
      <c r="B92" s="170">
        <v>37</v>
      </c>
      <c r="C92" s="62" t="s">
        <v>80</v>
      </c>
      <c r="D92" s="61">
        <v>6</v>
      </c>
      <c r="E92" s="62" t="s">
        <v>37</v>
      </c>
      <c r="F92" s="53">
        <v>16</v>
      </c>
      <c r="G92" s="54" t="s">
        <v>29</v>
      </c>
    </row>
    <row r="93" spans="2:7" x14ac:dyDescent="0.25">
      <c r="B93" s="170">
        <v>39</v>
      </c>
      <c r="C93" s="62" t="s">
        <v>212</v>
      </c>
      <c r="D93" s="61">
        <v>6</v>
      </c>
      <c r="E93" s="62" t="s">
        <v>37</v>
      </c>
      <c r="F93" s="51">
        <v>15</v>
      </c>
      <c r="G93" s="52" t="s">
        <v>60</v>
      </c>
    </row>
    <row r="94" spans="2:7" x14ac:dyDescent="0.25">
      <c r="B94" s="170">
        <v>66</v>
      </c>
      <c r="C94" s="62" t="s">
        <v>223</v>
      </c>
      <c r="D94" s="61">
        <v>6</v>
      </c>
      <c r="E94" s="62" t="s">
        <v>37</v>
      </c>
      <c r="F94" s="67">
        <v>24</v>
      </c>
      <c r="G94" s="68" t="s">
        <v>27</v>
      </c>
    </row>
    <row r="95" spans="2:7" x14ac:dyDescent="0.25">
      <c r="B95" s="170">
        <v>72</v>
      </c>
      <c r="C95" s="62" t="s">
        <v>228</v>
      </c>
      <c r="D95" s="61">
        <v>6</v>
      </c>
      <c r="E95" s="62" t="s">
        <v>37</v>
      </c>
      <c r="F95" s="67">
        <v>24</v>
      </c>
      <c r="G95" s="68" t="s">
        <v>27</v>
      </c>
    </row>
    <row r="96" spans="2:7" x14ac:dyDescent="0.25">
      <c r="B96" s="170">
        <v>84</v>
      </c>
      <c r="C96" s="62" t="s">
        <v>81</v>
      </c>
      <c r="D96" s="61">
        <v>6</v>
      </c>
      <c r="E96" s="62" t="s">
        <v>37</v>
      </c>
      <c r="F96" s="51">
        <v>15</v>
      </c>
      <c r="G96" s="52" t="s">
        <v>60</v>
      </c>
    </row>
    <row r="97" spans="2:7" x14ac:dyDescent="0.25">
      <c r="B97" s="170">
        <v>92</v>
      </c>
      <c r="C97" s="62" t="s">
        <v>118</v>
      </c>
      <c r="D97" s="61">
        <v>6</v>
      </c>
      <c r="E97" s="62" t="s">
        <v>37</v>
      </c>
      <c r="F97" s="65">
        <v>6</v>
      </c>
      <c r="G97" s="66" t="s">
        <v>15</v>
      </c>
    </row>
    <row r="98" spans="2:7" x14ac:dyDescent="0.25">
      <c r="B98" s="170">
        <v>96</v>
      </c>
      <c r="C98" s="62" t="s">
        <v>240</v>
      </c>
      <c r="D98" s="61">
        <v>6</v>
      </c>
      <c r="E98" s="62" t="s">
        <v>37</v>
      </c>
      <c r="F98" s="63">
        <v>3</v>
      </c>
      <c r="G98" s="64" t="s">
        <v>63</v>
      </c>
    </row>
    <row r="99" spans="2:7" x14ac:dyDescent="0.25">
      <c r="B99" s="170">
        <v>108</v>
      </c>
      <c r="C99" s="266" t="s">
        <v>527</v>
      </c>
      <c r="D99" s="61">
        <v>6</v>
      </c>
      <c r="E99" s="62" t="s">
        <v>37</v>
      </c>
      <c r="F99" s="63">
        <v>3</v>
      </c>
      <c r="G99" s="64" t="s">
        <v>63</v>
      </c>
    </row>
    <row r="100" spans="2:7" x14ac:dyDescent="0.25">
      <c r="B100" s="170">
        <v>113</v>
      </c>
      <c r="C100" s="266" t="s">
        <v>164</v>
      </c>
      <c r="D100" s="61">
        <v>6</v>
      </c>
      <c r="E100" s="62" t="s">
        <v>37</v>
      </c>
      <c r="F100" s="65">
        <v>6</v>
      </c>
      <c r="G100" s="66" t="s">
        <v>15</v>
      </c>
    </row>
    <row r="101" spans="2:7" x14ac:dyDescent="0.25">
      <c r="B101" s="170">
        <v>127</v>
      </c>
      <c r="C101" s="266" t="s">
        <v>263</v>
      </c>
      <c r="D101" s="61">
        <v>6</v>
      </c>
      <c r="E101" s="62" t="s">
        <v>37</v>
      </c>
      <c r="F101" s="51">
        <v>15</v>
      </c>
      <c r="G101" s="52" t="s">
        <v>60</v>
      </c>
    </row>
    <row r="102" spans="2:7" x14ac:dyDescent="0.25">
      <c r="B102" s="170">
        <v>129</v>
      </c>
      <c r="C102" s="266" t="s">
        <v>265</v>
      </c>
      <c r="D102" s="61">
        <v>6</v>
      </c>
      <c r="E102" s="62" t="s">
        <v>37</v>
      </c>
      <c r="F102" s="53">
        <v>16</v>
      </c>
      <c r="G102" s="54" t="s">
        <v>29</v>
      </c>
    </row>
    <row r="103" spans="2:7" x14ac:dyDescent="0.25">
      <c r="B103" s="170">
        <v>152</v>
      </c>
      <c r="C103" s="266" t="s">
        <v>282</v>
      </c>
      <c r="D103" s="61">
        <v>6</v>
      </c>
      <c r="E103" s="62" t="s">
        <v>37</v>
      </c>
      <c r="F103" s="67">
        <v>24</v>
      </c>
      <c r="G103" s="68" t="s">
        <v>27</v>
      </c>
    </row>
    <row r="104" spans="2:7" x14ac:dyDescent="0.25">
      <c r="B104" s="170">
        <v>154</v>
      </c>
      <c r="C104" s="101" t="s">
        <v>28</v>
      </c>
      <c r="D104" s="61">
        <v>6</v>
      </c>
      <c r="E104" s="62" t="s">
        <v>37</v>
      </c>
      <c r="F104" s="122">
        <v>24</v>
      </c>
      <c r="G104" s="104" t="s">
        <v>27</v>
      </c>
    </row>
    <row r="105" spans="2:7" x14ac:dyDescent="0.25">
      <c r="B105" s="170">
        <v>161</v>
      </c>
      <c r="C105" s="101" t="s">
        <v>22</v>
      </c>
      <c r="D105" s="61">
        <v>6</v>
      </c>
      <c r="E105" s="62" t="s">
        <v>37</v>
      </c>
      <c r="F105" s="128">
        <v>15</v>
      </c>
      <c r="G105" s="135" t="s">
        <v>60</v>
      </c>
    </row>
    <row r="106" spans="2:7" x14ac:dyDescent="0.25">
      <c r="B106" s="170">
        <v>169</v>
      </c>
      <c r="C106" s="101" t="s">
        <v>66</v>
      </c>
      <c r="D106" s="61">
        <v>6</v>
      </c>
      <c r="E106" s="62" t="s">
        <v>37</v>
      </c>
      <c r="F106" s="284">
        <v>6</v>
      </c>
      <c r="G106" s="298" t="s">
        <v>15</v>
      </c>
    </row>
    <row r="107" spans="2:7" x14ac:dyDescent="0.25">
      <c r="B107" s="171">
        <v>173</v>
      </c>
      <c r="C107" s="261" t="s">
        <v>185</v>
      </c>
      <c r="D107" s="80">
        <v>4</v>
      </c>
      <c r="E107" s="79" t="s">
        <v>33</v>
      </c>
      <c r="F107" s="273">
        <v>25</v>
      </c>
      <c r="G107" s="287" t="s">
        <v>17</v>
      </c>
    </row>
    <row r="108" spans="2:7" x14ac:dyDescent="0.25">
      <c r="B108" s="258">
        <v>7</v>
      </c>
      <c r="C108" s="261" t="s">
        <v>138</v>
      </c>
      <c r="D108" s="270">
        <v>4</v>
      </c>
      <c r="E108" s="261" t="s">
        <v>33</v>
      </c>
      <c r="F108" s="273">
        <v>25</v>
      </c>
      <c r="G108" s="287" t="s">
        <v>17</v>
      </c>
    </row>
    <row r="109" spans="2:7" x14ac:dyDescent="0.25">
      <c r="B109" s="171">
        <v>9</v>
      </c>
      <c r="C109" s="261" t="s">
        <v>47</v>
      </c>
      <c r="D109" s="80">
        <v>4</v>
      </c>
      <c r="E109" s="79" t="s">
        <v>33</v>
      </c>
      <c r="F109" s="272">
        <v>2</v>
      </c>
      <c r="G109" s="286" t="s">
        <v>48</v>
      </c>
    </row>
    <row r="110" spans="2:7" x14ac:dyDescent="0.25">
      <c r="B110" s="171">
        <v>78</v>
      </c>
      <c r="C110" s="261" t="s">
        <v>199</v>
      </c>
      <c r="D110" s="80">
        <v>4</v>
      </c>
      <c r="E110" s="79" t="s">
        <v>33</v>
      </c>
      <c r="F110" s="273">
        <v>25</v>
      </c>
      <c r="G110" s="287" t="s">
        <v>17</v>
      </c>
    </row>
    <row r="111" spans="2:7" x14ac:dyDescent="0.25">
      <c r="B111" s="171">
        <v>77</v>
      </c>
      <c r="C111" s="261" t="s">
        <v>85</v>
      </c>
      <c r="D111" s="80">
        <v>4</v>
      </c>
      <c r="E111" s="79" t="s">
        <v>33</v>
      </c>
      <c r="F111" s="273">
        <v>25</v>
      </c>
      <c r="G111" s="287" t="s">
        <v>17</v>
      </c>
    </row>
    <row r="112" spans="2:7" x14ac:dyDescent="0.25">
      <c r="B112" s="171">
        <v>58</v>
      </c>
      <c r="C112" s="261" t="s">
        <v>126</v>
      </c>
      <c r="D112" s="80">
        <v>4</v>
      </c>
      <c r="E112" s="79" t="s">
        <v>33</v>
      </c>
      <c r="F112" s="272">
        <v>2</v>
      </c>
      <c r="G112" s="286" t="s">
        <v>48</v>
      </c>
    </row>
    <row r="113" spans="2:7" x14ac:dyDescent="0.25">
      <c r="B113" s="171">
        <v>79</v>
      </c>
      <c r="C113" s="261" t="s">
        <v>226</v>
      </c>
      <c r="D113" s="80">
        <v>4</v>
      </c>
      <c r="E113" s="79" t="s">
        <v>33</v>
      </c>
      <c r="F113" s="273">
        <v>25</v>
      </c>
      <c r="G113" s="287" t="s">
        <v>17</v>
      </c>
    </row>
    <row r="114" spans="2:7" x14ac:dyDescent="0.25">
      <c r="B114" s="171">
        <v>76</v>
      </c>
      <c r="C114" s="261" t="s">
        <v>231</v>
      </c>
      <c r="D114" s="80">
        <v>4</v>
      </c>
      <c r="E114" s="79" t="s">
        <v>33</v>
      </c>
      <c r="F114" s="273">
        <v>25</v>
      </c>
      <c r="G114" s="287" t="s">
        <v>17</v>
      </c>
    </row>
    <row r="115" spans="2:7" x14ac:dyDescent="0.25">
      <c r="B115" s="171">
        <v>93</v>
      </c>
      <c r="C115" s="261" t="s">
        <v>82</v>
      </c>
      <c r="D115" s="80">
        <v>4</v>
      </c>
      <c r="E115" s="79" t="s">
        <v>33</v>
      </c>
      <c r="F115" s="273">
        <v>25</v>
      </c>
      <c r="G115" s="287" t="s">
        <v>17</v>
      </c>
    </row>
    <row r="116" spans="2:7" x14ac:dyDescent="0.25">
      <c r="B116" s="171">
        <v>99</v>
      </c>
      <c r="C116" s="100" t="s">
        <v>121</v>
      </c>
      <c r="D116" s="80">
        <v>4</v>
      </c>
      <c r="E116" s="79" t="s">
        <v>33</v>
      </c>
      <c r="F116" s="133">
        <v>2</v>
      </c>
      <c r="G116" s="139" t="s">
        <v>48</v>
      </c>
    </row>
    <row r="117" spans="2:7" x14ac:dyDescent="0.25">
      <c r="B117" s="171">
        <v>101</v>
      </c>
      <c r="C117" s="100" t="s">
        <v>83</v>
      </c>
      <c r="D117" s="80">
        <v>4</v>
      </c>
      <c r="E117" s="79" t="s">
        <v>33</v>
      </c>
      <c r="F117" s="105">
        <v>25</v>
      </c>
      <c r="G117" s="106" t="s">
        <v>17</v>
      </c>
    </row>
    <row r="118" spans="2:7" x14ac:dyDescent="0.25">
      <c r="B118" s="171">
        <v>106</v>
      </c>
      <c r="C118" s="103" t="s">
        <v>251</v>
      </c>
      <c r="D118" s="80">
        <v>4</v>
      </c>
      <c r="E118" s="79" t="s">
        <v>33</v>
      </c>
      <c r="F118" s="105">
        <v>25</v>
      </c>
      <c r="G118" s="106" t="s">
        <v>17</v>
      </c>
    </row>
    <row r="119" spans="2:7" x14ac:dyDescent="0.25">
      <c r="B119" s="171">
        <v>120</v>
      </c>
      <c r="C119" s="103" t="s">
        <v>45</v>
      </c>
      <c r="D119" s="80">
        <v>4</v>
      </c>
      <c r="E119" s="79" t="s">
        <v>33</v>
      </c>
      <c r="F119" s="105">
        <v>25</v>
      </c>
      <c r="G119" s="106" t="s">
        <v>17</v>
      </c>
    </row>
    <row r="120" spans="2:7" x14ac:dyDescent="0.25">
      <c r="B120" s="171">
        <v>158</v>
      </c>
      <c r="C120" s="103" t="s">
        <v>287</v>
      </c>
      <c r="D120" s="80">
        <v>4</v>
      </c>
      <c r="E120" s="100" t="s">
        <v>33</v>
      </c>
      <c r="F120" s="105">
        <v>25</v>
      </c>
      <c r="G120" s="106" t="s">
        <v>17</v>
      </c>
    </row>
    <row r="121" spans="2:7" x14ac:dyDescent="0.25">
      <c r="B121" s="171">
        <v>168</v>
      </c>
      <c r="C121" s="103" t="s">
        <v>293</v>
      </c>
      <c r="D121" s="80">
        <v>4</v>
      </c>
      <c r="E121" s="100" t="s">
        <v>33</v>
      </c>
      <c r="F121" s="133">
        <v>2</v>
      </c>
      <c r="G121" s="139" t="s">
        <v>48</v>
      </c>
    </row>
    <row r="122" spans="2:7" x14ac:dyDescent="0.25">
      <c r="B122" s="171">
        <v>171</v>
      </c>
      <c r="C122" s="103" t="s">
        <v>294</v>
      </c>
      <c r="D122" s="80">
        <v>4</v>
      </c>
      <c r="E122" s="100" t="s">
        <v>33</v>
      </c>
      <c r="F122" s="133">
        <v>2</v>
      </c>
      <c r="G122" s="139" t="s">
        <v>48</v>
      </c>
    </row>
    <row r="123" spans="2:7" x14ac:dyDescent="0.25">
      <c r="B123" s="172">
        <v>65</v>
      </c>
      <c r="C123" s="98" t="s">
        <v>183</v>
      </c>
      <c r="D123" s="78">
        <v>9</v>
      </c>
      <c r="E123" s="98" t="s">
        <v>32</v>
      </c>
      <c r="F123" s="119">
        <v>22</v>
      </c>
      <c r="G123" s="124" t="s">
        <v>184</v>
      </c>
    </row>
    <row r="124" spans="2:7" x14ac:dyDescent="0.25">
      <c r="B124" s="172">
        <v>176</v>
      </c>
      <c r="C124" s="263" t="s">
        <v>55</v>
      </c>
      <c r="D124" s="78">
        <v>9</v>
      </c>
      <c r="E124" s="263" t="s">
        <v>32</v>
      </c>
      <c r="F124" s="283">
        <v>13</v>
      </c>
      <c r="G124" s="297" t="s">
        <v>56</v>
      </c>
    </row>
    <row r="125" spans="2:7" x14ac:dyDescent="0.25">
      <c r="B125" s="172">
        <v>11</v>
      </c>
      <c r="C125" s="263" t="s">
        <v>12</v>
      </c>
      <c r="D125" s="78">
        <v>9</v>
      </c>
      <c r="E125" s="263" t="s">
        <v>32</v>
      </c>
      <c r="F125" s="280">
        <v>4</v>
      </c>
      <c r="G125" s="294" t="s">
        <v>13</v>
      </c>
    </row>
    <row r="126" spans="2:7" x14ac:dyDescent="0.25">
      <c r="B126" s="172">
        <v>19</v>
      </c>
      <c r="C126" s="263" t="s">
        <v>197</v>
      </c>
      <c r="D126" s="78">
        <v>9</v>
      </c>
      <c r="E126" s="263" t="s">
        <v>32</v>
      </c>
      <c r="F126" s="282">
        <v>14</v>
      </c>
      <c r="G126" s="296" t="s">
        <v>19</v>
      </c>
    </row>
    <row r="127" spans="2:7" x14ac:dyDescent="0.25">
      <c r="B127" s="172">
        <v>23</v>
      </c>
      <c r="C127" s="263" t="s">
        <v>139</v>
      </c>
      <c r="D127" s="78">
        <v>9</v>
      </c>
      <c r="E127" s="263" t="s">
        <v>32</v>
      </c>
      <c r="F127" s="279">
        <v>10</v>
      </c>
      <c r="G127" s="293" t="s">
        <v>200</v>
      </c>
    </row>
    <row r="128" spans="2:7" x14ac:dyDescent="0.25">
      <c r="B128" s="172">
        <v>24</v>
      </c>
      <c r="C128" s="263" t="s">
        <v>137</v>
      </c>
      <c r="D128" s="78">
        <v>9</v>
      </c>
      <c r="E128" s="263" t="s">
        <v>32</v>
      </c>
      <c r="F128" s="281">
        <v>11</v>
      </c>
      <c r="G128" s="295" t="s">
        <v>201</v>
      </c>
    </row>
    <row r="129" spans="2:7" x14ac:dyDescent="0.25">
      <c r="B129" s="172">
        <v>28</v>
      </c>
      <c r="C129" s="263" t="s">
        <v>203</v>
      </c>
      <c r="D129" s="78">
        <v>9</v>
      </c>
      <c r="E129" s="263" t="s">
        <v>32</v>
      </c>
      <c r="F129" s="278">
        <v>22</v>
      </c>
      <c r="G129" s="292" t="s">
        <v>184</v>
      </c>
    </row>
    <row r="130" spans="2:7" x14ac:dyDescent="0.25">
      <c r="B130" s="172">
        <v>31</v>
      </c>
      <c r="C130" s="263" t="s">
        <v>147</v>
      </c>
      <c r="D130" s="78">
        <v>9</v>
      </c>
      <c r="E130" s="263" t="s">
        <v>32</v>
      </c>
      <c r="F130" s="275">
        <v>29</v>
      </c>
      <c r="G130" s="289" t="s">
        <v>206</v>
      </c>
    </row>
    <row r="131" spans="2:7" x14ac:dyDescent="0.25">
      <c r="B131" s="172">
        <v>33</v>
      </c>
      <c r="C131" s="263" t="s">
        <v>179</v>
      </c>
      <c r="D131" s="78">
        <v>9</v>
      </c>
      <c r="E131" s="263" t="s">
        <v>32</v>
      </c>
      <c r="F131" s="283">
        <v>13</v>
      </c>
      <c r="G131" s="297" t="s">
        <v>56</v>
      </c>
    </row>
    <row r="132" spans="2:7" x14ac:dyDescent="0.25">
      <c r="B132" s="172">
        <v>38</v>
      </c>
      <c r="C132" s="263" t="s">
        <v>163</v>
      </c>
      <c r="D132" s="78">
        <v>9</v>
      </c>
      <c r="E132" s="263" t="s">
        <v>32</v>
      </c>
      <c r="F132" s="283">
        <v>13</v>
      </c>
      <c r="G132" s="297" t="s">
        <v>56</v>
      </c>
    </row>
    <row r="133" spans="2:7" x14ac:dyDescent="0.25">
      <c r="B133" s="172">
        <v>42</v>
      </c>
      <c r="C133" s="263" t="s">
        <v>215</v>
      </c>
      <c r="D133" s="78">
        <v>9</v>
      </c>
      <c r="E133" s="263" t="s">
        <v>32</v>
      </c>
      <c r="F133" s="278">
        <v>22</v>
      </c>
      <c r="G133" s="292" t="s">
        <v>184</v>
      </c>
    </row>
    <row r="134" spans="2:7" x14ac:dyDescent="0.25">
      <c r="B134" s="172">
        <v>44</v>
      </c>
      <c r="C134" s="263" t="s">
        <v>43</v>
      </c>
      <c r="D134" s="78">
        <v>9</v>
      </c>
      <c r="E134" s="263" t="s">
        <v>32</v>
      </c>
      <c r="F134" s="277">
        <v>23</v>
      </c>
      <c r="G134" s="291" t="s">
        <v>44</v>
      </c>
    </row>
    <row r="135" spans="2:7" x14ac:dyDescent="0.25">
      <c r="B135" s="172">
        <v>45</v>
      </c>
      <c r="C135" s="263" t="s">
        <v>216</v>
      </c>
      <c r="D135" s="78">
        <v>9</v>
      </c>
      <c r="E135" s="263" t="s">
        <v>32</v>
      </c>
      <c r="F135" s="278">
        <v>22</v>
      </c>
      <c r="G135" s="292" t="s">
        <v>184</v>
      </c>
    </row>
    <row r="136" spans="2:7" x14ac:dyDescent="0.25">
      <c r="B136" s="172">
        <v>62</v>
      </c>
      <c r="C136" s="263" t="s">
        <v>128</v>
      </c>
      <c r="D136" s="78">
        <v>9</v>
      </c>
      <c r="E136" s="263" t="s">
        <v>32</v>
      </c>
      <c r="F136" s="281">
        <v>11</v>
      </c>
      <c r="G136" s="295" t="s">
        <v>201</v>
      </c>
    </row>
    <row r="137" spans="2:7" x14ac:dyDescent="0.25">
      <c r="B137" s="172">
        <v>63</v>
      </c>
      <c r="C137" s="263" t="s">
        <v>120</v>
      </c>
      <c r="D137" s="78">
        <v>9</v>
      </c>
      <c r="E137" s="263" t="s">
        <v>32</v>
      </c>
      <c r="F137" s="275">
        <v>29</v>
      </c>
      <c r="G137" s="289" t="s">
        <v>206</v>
      </c>
    </row>
    <row r="138" spans="2:7" x14ac:dyDescent="0.25">
      <c r="B138" s="172">
        <v>64</v>
      </c>
      <c r="C138" s="263" t="s">
        <v>131</v>
      </c>
      <c r="D138" s="78">
        <v>9</v>
      </c>
      <c r="E138" s="263" t="s">
        <v>32</v>
      </c>
      <c r="F138" s="274">
        <v>21</v>
      </c>
      <c r="G138" s="288" t="s">
        <v>21</v>
      </c>
    </row>
    <row r="139" spans="2:7" x14ac:dyDescent="0.25">
      <c r="B139" s="172">
        <v>67</v>
      </c>
      <c r="C139" s="263" t="s">
        <v>124</v>
      </c>
      <c r="D139" s="78">
        <v>9</v>
      </c>
      <c r="E139" s="263" t="s">
        <v>32</v>
      </c>
      <c r="F139" s="277">
        <v>23</v>
      </c>
      <c r="G139" s="291" t="s">
        <v>44</v>
      </c>
    </row>
    <row r="140" spans="2:7" x14ac:dyDescent="0.25">
      <c r="B140" s="172">
        <v>68</v>
      </c>
      <c r="C140" s="263" t="s">
        <v>224</v>
      </c>
      <c r="D140" s="78">
        <v>9</v>
      </c>
      <c r="E140" s="263" t="s">
        <v>32</v>
      </c>
      <c r="F140" s="281">
        <v>11</v>
      </c>
      <c r="G140" s="295" t="s">
        <v>201</v>
      </c>
    </row>
    <row r="141" spans="2:7" x14ac:dyDescent="0.25">
      <c r="B141" s="172">
        <v>71</v>
      </c>
      <c r="C141" s="263" t="s">
        <v>227</v>
      </c>
      <c r="D141" s="78">
        <v>9</v>
      </c>
      <c r="E141" s="263" t="s">
        <v>32</v>
      </c>
      <c r="F141" s="283">
        <v>13</v>
      </c>
      <c r="G141" s="297" t="s">
        <v>56</v>
      </c>
    </row>
    <row r="142" spans="2:7" x14ac:dyDescent="0.25">
      <c r="B142" s="172">
        <v>86</v>
      </c>
      <c r="C142" s="263" t="s">
        <v>20</v>
      </c>
      <c r="D142" s="78">
        <v>9</v>
      </c>
      <c r="E142" s="263" t="s">
        <v>32</v>
      </c>
      <c r="F142" s="274">
        <v>21</v>
      </c>
      <c r="G142" s="288" t="s">
        <v>21</v>
      </c>
    </row>
    <row r="143" spans="2:7" x14ac:dyDescent="0.25">
      <c r="B143" s="172">
        <v>88</v>
      </c>
      <c r="C143" s="263" t="s">
        <v>238</v>
      </c>
      <c r="D143" s="78">
        <v>9</v>
      </c>
      <c r="E143" s="263" t="s">
        <v>32</v>
      </c>
      <c r="F143" s="278">
        <v>22</v>
      </c>
      <c r="G143" s="292" t="s">
        <v>184</v>
      </c>
    </row>
    <row r="144" spans="2:7" x14ac:dyDescent="0.25">
      <c r="B144" s="172">
        <v>89</v>
      </c>
      <c r="C144" s="263" t="s">
        <v>127</v>
      </c>
      <c r="D144" s="78">
        <v>9</v>
      </c>
      <c r="E144" s="263" t="s">
        <v>32</v>
      </c>
      <c r="F144" s="275">
        <v>29</v>
      </c>
      <c r="G144" s="289" t="s">
        <v>206</v>
      </c>
    </row>
    <row r="145" spans="2:7" x14ac:dyDescent="0.25">
      <c r="B145" s="172">
        <v>94</v>
      </c>
      <c r="C145" s="263" t="s">
        <v>123</v>
      </c>
      <c r="D145" s="78">
        <v>9</v>
      </c>
      <c r="E145" s="263" t="s">
        <v>32</v>
      </c>
      <c r="F145" s="280">
        <v>4</v>
      </c>
      <c r="G145" s="294" t="s">
        <v>13</v>
      </c>
    </row>
    <row r="146" spans="2:7" x14ac:dyDescent="0.25">
      <c r="B146" s="172">
        <v>95</v>
      </c>
      <c r="C146" s="263" t="s">
        <v>136</v>
      </c>
      <c r="D146" s="78">
        <v>9</v>
      </c>
      <c r="E146" s="263" t="s">
        <v>32</v>
      </c>
      <c r="F146" s="275">
        <v>29</v>
      </c>
      <c r="G146" s="289" t="s">
        <v>206</v>
      </c>
    </row>
    <row r="147" spans="2:7" x14ac:dyDescent="0.25">
      <c r="B147" s="172">
        <v>100</v>
      </c>
      <c r="C147" s="98" t="s">
        <v>242</v>
      </c>
      <c r="D147" s="78">
        <v>9</v>
      </c>
      <c r="E147" s="263" t="s">
        <v>32</v>
      </c>
      <c r="F147" s="120">
        <v>29</v>
      </c>
      <c r="G147" s="125" t="s">
        <v>206</v>
      </c>
    </row>
    <row r="148" spans="2:7" x14ac:dyDescent="0.25">
      <c r="B148" s="172">
        <v>110</v>
      </c>
      <c r="C148" s="107" t="s">
        <v>151</v>
      </c>
      <c r="D148" s="78">
        <v>9</v>
      </c>
      <c r="E148" s="263" t="s">
        <v>32</v>
      </c>
      <c r="F148" s="134">
        <v>4</v>
      </c>
      <c r="G148" s="140" t="s">
        <v>13</v>
      </c>
    </row>
    <row r="149" spans="2:7" x14ac:dyDescent="0.25">
      <c r="B149" s="172">
        <v>122</v>
      </c>
      <c r="C149" s="107" t="s">
        <v>260</v>
      </c>
      <c r="D149" s="78">
        <v>9</v>
      </c>
      <c r="E149" s="98" t="s">
        <v>32</v>
      </c>
      <c r="F149" s="132">
        <v>10</v>
      </c>
      <c r="G149" s="99" t="s">
        <v>200</v>
      </c>
    </row>
    <row r="150" spans="2:7" x14ac:dyDescent="0.25">
      <c r="B150" s="172">
        <v>125</v>
      </c>
      <c r="C150" s="107" t="s">
        <v>262</v>
      </c>
      <c r="D150" s="78">
        <v>9</v>
      </c>
      <c r="E150" s="98" t="s">
        <v>32</v>
      </c>
      <c r="F150" s="129">
        <v>13</v>
      </c>
      <c r="G150" s="136" t="s">
        <v>56</v>
      </c>
    </row>
    <row r="151" spans="2:7" x14ac:dyDescent="0.25">
      <c r="B151" s="172">
        <v>130</v>
      </c>
      <c r="C151" s="107" t="s">
        <v>266</v>
      </c>
      <c r="D151" s="78">
        <v>9</v>
      </c>
      <c r="E151" s="98" t="s">
        <v>32</v>
      </c>
      <c r="F151" s="129">
        <v>13</v>
      </c>
      <c r="G151" s="136" t="s">
        <v>56</v>
      </c>
    </row>
    <row r="152" spans="2:7" x14ac:dyDescent="0.25">
      <c r="B152" s="172">
        <v>132</v>
      </c>
      <c r="C152" s="107" t="s">
        <v>267</v>
      </c>
      <c r="D152" s="78">
        <v>9</v>
      </c>
      <c r="E152" s="98" t="s">
        <v>32</v>
      </c>
      <c r="F152" s="129">
        <v>13</v>
      </c>
      <c r="G152" s="136" t="s">
        <v>56</v>
      </c>
    </row>
    <row r="153" spans="2:7" x14ac:dyDescent="0.25">
      <c r="B153" s="172">
        <v>145</v>
      </c>
      <c r="C153" s="107" t="s">
        <v>117</v>
      </c>
      <c r="D153" s="78">
        <v>9</v>
      </c>
      <c r="E153" s="98" t="s">
        <v>32</v>
      </c>
      <c r="F153" s="120">
        <v>29</v>
      </c>
      <c r="G153" s="125" t="s">
        <v>206</v>
      </c>
    </row>
    <row r="154" spans="2:7" x14ac:dyDescent="0.25">
      <c r="B154" s="172">
        <v>146</v>
      </c>
      <c r="C154" s="107" t="s">
        <v>278</v>
      </c>
      <c r="D154" s="78">
        <v>9</v>
      </c>
      <c r="E154" s="98" t="s">
        <v>32</v>
      </c>
      <c r="F154" s="121">
        <v>21</v>
      </c>
      <c r="G154" s="126" t="s">
        <v>21</v>
      </c>
    </row>
    <row r="155" spans="2:7" x14ac:dyDescent="0.25">
      <c r="B155" s="172">
        <v>147</v>
      </c>
      <c r="C155" s="107" t="s">
        <v>154</v>
      </c>
      <c r="D155" s="78">
        <v>9</v>
      </c>
      <c r="E155" s="98" t="s">
        <v>32</v>
      </c>
      <c r="F155" s="119">
        <v>22</v>
      </c>
      <c r="G155" s="124" t="s">
        <v>184</v>
      </c>
    </row>
    <row r="156" spans="2:7" x14ac:dyDescent="0.25">
      <c r="B156" s="172">
        <v>149</v>
      </c>
      <c r="C156" s="107" t="s">
        <v>153</v>
      </c>
      <c r="D156" s="78">
        <v>9</v>
      </c>
      <c r="E156" s="98" t="s">
        <v>32</v>
      </c>
      <c r="F156" s="130">
        <v>11</v>
      </c>
      <c r="G156" s="137" t="s">
        <v>201</v>
      </c>
    </row>
    <row r="157" spans="2:7" x14ac:dyDescent="0.25">
      <c r="B157" s="172">
        <v>153</v>
      </c>
      <c r="C157" s="107" t="s">
        <v>283</v>
      </c>
      <c r="D157" s="78">
        <v>9</v>
      </c>
      <c r="E157" s="98" t="s">
        <v>32</v>
      </c>
      <c r="F157" s="129">
        <v>13</v>
      </c>
      <c r="G157" s="136" t="s">
        <v>56</v>
      </c>
    </row>
    <row r="158" spans="2:7" x14ac:dyDescent="0.25">
      <c r="B158" s="172">
        <v>162</v>
      </c>
      <c r="C158" s="107" t="s">
        <v>129</v>
      </c>
      <c r="D158" s="78">
        <v>9</v>
      </c>
      <c r="E158" s="98" t="s">
        <v>32</v>
      </c>
      <c r="F158" s="123">
        <v>23</v>
      </c>
      <c r="G158" s="127" t="s">
        <v>44</v>
      </c>
    </row>
    <row r="159" spans="2:7" x14ac:dyDescent="0.25">
      <c r="B159" s="172">
        <v>163</v>
      </c>
      <c r="C159" s="107" t="s">
        <v>152</v>
      </c>
      <c r="D159" s="78">
        <v>9</v>
      </c>
      <c r="E159" s="98" t="s">
        <v>32</v>
      </c>
      <c r="F159" s="123">
        <v>23</v>
      </c>
      <c r="G159" s="127" t="s">
        <v>44</v>
      </c>
    </row>
    <row r="160" spans="2:7" x14ac:dyDescent="0.25">
      <c r="B160" s="172">
        <v>166</v>
      </c>
      <c r="C160" s="107" t="s">
        <v>291</v>
      </c>
      <c r="D160" s="78">
        <v>9</v>
      </c>
      <c r="E160" s="98" t="s">
        <v>32</v>
      </c>
      <c r="F160" s="120">
        <v>29</v>
      </c>
      <c r="G160" s="125" t="s">
        <v>206</v>
      </c>
    </row>
    <row r="161" spans="2:7" x14ac:dyDescent="0.25">
      <c r="B161" s="172">
        <v>170</v>
      </c>
      <c r="C161" s="107" t="s">
        <v>160</v>
      </c>
      <c r="D161" s="78">
        <v>9</v>
      </c>
      <c r="E161" s="98" t="s">
        <v>32</v>
      </c>
      <c r="F161" s="120">
        <v>29</v>
      </c>
      <c r="G161" s="125" t="s">
        <v>206</v>
      </c>
    </row>
    <row r="162" spans="2:7" x14ac:dyDescent="0.25">
      <c r="B162" s="256">
        <v>178</v>
      </c>
      <c r="C162" s="265" t="s">
        <v>186</v>
      </c>
      <c r="D162" s="269">
        <v>7</v>
      </c>
      <c r="E162" s="265" t="s">
        <v>92</v>
      </c>
      <c r="F162" s="276">
        <v>17</v>
      </c>
      <c r="G162" s="290" t="s">
        <v>187</v>
      </c>
    </row>
    <row r="163" spans="2:7" x14ac:dyDescent="0.25">
      <c r="B163" s="173">
        <v>1</v>
      </c>
      <c r="C163" s="265" t="s">
        <v>188</v>
      </c>
      <c r="D163" s="67">
        <v>7</v>
      </c>
      <c r="E163" s="265" t="s">
        <v>92</v>
      </c>
      <c r="F163" s="276">
        <v>17</v>
      </c>
      <c r="G163" s="290" t="s">
        <v>187</v>
      </c>
    </row>
    <row r="164" spans="2:7" x14ac:dyDescent="0.25">
      <c r="B164" s="173">
        <v>2</v>
      </c>
      <c r="C164" s="265" t="s">
        <v>189</v>
      </c>
      <c r="D164" s="67">
        <v>7</v>
      </c>
      <c r="E164" s="265" t="s">
        <v>92</v>
      </c>
      <c r="F164" s="276">
        <v>17</v>
      </c>
      <c r="G164" s="290" t="s">
        <v>187</v>
      </c>
    </row>
    <row r="165" spans="2:7" x14ac:dyDescent="0.25">
      <c r="B165" s="173">
        <v>8</v>
      </c>
      <c r="C165" s="265" t="s">
        <v>191</v>
      </c>
      <c r="D165" s="67">
        <v>7</v>
      </c>
      <c r="E165" s="265" t="s">
        <v>92</v>
      </c>
      <c r="F165" s="276">
        <v>17</v>
      </c>
      <c r="G165" s="290" t="s">
        <v>187</v>
      </c>
    </row>
    <row r="166" spans="2:7" x14ac:dyDescent="0.25">
      <c r="B166" s="173">
        <v>29</v>
      </c>
      <c r="C166" s="265" t="s">
        <v>204</v>
      </c>
      <c r="D166" s="67">
        <v>7</v>
      </c>
      <c r="E166" s="265" t="s">
        <v>92</v>
      </c>
      <c r="F166" s="276">
        <v>17</v>
      </c>
      <c r="G166" s="290" t="s">
        <v>187</v>
      </c>
    </row>
    <row r="167" spans="2:7" x14ac:dyDescent="0.25">
      <c r="B167" s="173">
        <v>35</v>
      </c>
      <c r="C167" s="265" t="s">
        <v>210</v>
      </c>
      <c r="D167" s="67">
        <v>7</v>
      </c>
      <c r="E167" s="265" t="s">
        <v>92</v>
      </c>
      <c r="F167" s="276">
        <v>17</v>
      </c>
      <c r="G167" s="290" t="s">
        <v>187</v>
      </c>
    </row>
    <row r="168" spans="2:7" x14ac:dyDescent="0.25">
      <c r="B168" s="173">
        <v>52</v>
      </c>
      <c r="C168" s="265" t="s">
        <v>218</v>
      </c>
      <c r="D168" s="67">
        <v>7</v>
      </c>
      <c r="E168" s="265" t="s">
        <v>92</v>
      </c>
      <c r="F168" s="276">
        <v>17</v>
      </c>
      <c r="G168" s="290" t="s">
        <v>187</v>
      </c>
    </row>
    <row r="169" spans="2:7" x14ac:dyDescent="0.25">
      <c r="B169" s="173">
        <v>53</v>
      </c>
      <c r="C169" s="265" t="s">
        <v>219</v>
      </c>
      <c r="D169" s="67">
        <v>7</v>
      </c>
      <c r="E169" s="265" t="s">
        <v>92</v>
      </c>
      <c r="F169" s="276">
        <v>17</v>
      </c>
      <c r="G169" s="290" t="s">
        <v>187</v>
      </c>
    </row>
    <row r="170" spans="2:7" x14ac:dyDescent="0.25">
      <c r="B170" s="173">
        <v>74</v>
      </c>
      <c r="C170" s="265" t="s">
        <v>229</v>
      </c>
      <c r="D170" s="67">
        <v>7</v>
      </c>
      <c r="E170" s="265" t="s">
        <v>92</v>
      </c>
      <c r="F170" s="276">
        <v>17</v>
      </c>
      <c r="G170" s="290" t="s">
        <v>187</v>
      </c>
    </row>
    <row r="171" spans="2:7" x14ac:dyDescent="0.25">
      <c r="B171" s="173">
        <v>75</v>
      </c>
      <c r="C171" s="265" t="s">
        <v>230</v>
      </c>
      <c r="D171" s="67">
        <v>7</v>
      </c>
      <c r="E171" s="265" t="s">
        <v>92</v>
      </c>
      <c r="F171" s="276">
        <v>17</v>
      </c>
      <c r="G171" s="290" t="s">
        <v>187</v>
      </c>
    </row>
    <row r="172" spans="2:7" x14ac:dyDescent="0.25">
      <c r="B172" s="173">
        <v>97</v>
      </c>
      <c r="C172" s="265" t="s">
        <v>241</v>
      </c>
      <c r="D172" s="67">
        <v>7</v>
      </c>
      <c r="E172" s="265" t="s">
        <v>92</v>
      </c>
      <c r="F172" s="276">
        <v>17</v>
      </c>
      <c r="G172" s="290" t="s">
        <v>187</v>
      </c>
    </row>
    <row r="173" spans="2:7" x14ac:dyDescent="0.25">
      <c r="B173" s="173">
        <v>102</v>
      </c>
      <c r="C173" s="102" t="s">
        <v>247</v>
      </c>
      <c r="D173" s="67">
        <v>7</v>
      </c>
      <c r="E173" s="104" t="s">
        <v>92</v>
      </c>
      <c r="F173" s="131">
        <v>17</v>
      </c>
      <c r="G173" s="138" t="s">
        <v>187</v>
      </c>
    </row>
    <row r="174" spans="2:7" x14ac:dyDescent="0.25">
      <c r="B174" s="173">
        <v>103</v>
      </c>
      <c r="C174" s="102" t="s">
        <v>248</v>
      </c>
      <c r="D174" s="67">
        <v>7</v>
      </c>
      <c r="E174" s="265" t="s">
        <v>92</v>
      </c>
      <c r="F174" s="131">
        <v>17</v>
      </c>
      <c r="G174" s="138" t="s">
        <v>187</v>
      </c>
    </row>
    <row r="175" spans="2:7" x14ac:dyDescent="0.25">
      <c r="B175" s="173">
        <v>107</v>
      </c>
      <c r="C175" s="102" t="s">
        <v>252</v>
      </c>
      <c r="D175" s="269">
        <v>7</v>
      </c>
      <c r="E175" s="265" t="s">
        <v>92</v>
      </c>
      <c r="F175" s="131">
        <v>17</v>
      </c>
      <c r="G175" s="138" t="s">
        <v>187</v>
      </c>
    </row>
    <row r="176" spans="2:7" x14ac:dyDescent="0.25">
      <c r="B176" s="173">
        <v>123</v>
      </c>
      <c r="C176" s="102" t="s">
        <v>261</v>
      </c>
      <c r="D176" s="269">
        <v>7</v>
      </c>
      <c r="E176" s="104" t="s">
        <v>92</v>
      </c>
      <c r="F176" s="131">
        <v>17</v>
      </c>
      <c r="G176" s="138" t="s">
        <v>187</v>
      </c>
    </row>
    <row r="177" spans="2:7" x14ac:dyDescent="0.25">
      <c r="B177" s="173">
        <v>128</v>
      </c>
      <c r="C177" s="102" t="s">
        <v>264</v>
      </c>
      <c r="D177" s="269">
        <v>7</v>
      </c>
      <c r="E177" s="104" t="s">
        <v>92</v>
      </c>
      <c r="F177" s="131">
        <v>17</v>
      </c>
      <c r="G177" s="138" t="s">
        <v>187</v>
      </c>
    </row>
    <row r="178" spans="2:7" x14ac:dyDescent="0.25">
      <c r="B178" s="257">
        <v>137</v>
      </c>
      <c r="C178" s="102" t="s">
        <v>271</v>
      </c>
      <c r="D178" s="269">
        <v>7</v>
      </c>
      <c r="E178" s="104" t="s">
        <v>92</v>
      </c>
      <c r="F178" s="69">
        <v>17</v>
      </c>
      <c r="G178" s="70" t="s">
        <v>187</v>
      </c>
    </row>
    <row r="179" spans="2:7" x14ac:dyDescent="0.25">
      <c r="B179" s="257">
        <v>138</v>
      </c>
      <c r="C179" s="102" t="s">
        <v>272</v>
      </c>
      <c r="D179" s="269">
        <v>7</v>
      </c>
      <c r="E179" s="104" t="s">
        <v>92</v>
      </c>
      <c r="F179" s="131">
        <v>17</v>
      </c>
      <c r="G179" s="138" t="s">
        <v>187</v>
      </c>
    </row>
    <row r="180" spans="2:7" x14ac:dyDescent="0.25">
      <c r="B180" s="257">
        <v>156</v>
      </c>
      <c r="C180" s="102" t="s">
        <v>285</v>
      </c>
      <c r="D180" s="67">
        <v>7</v>
      </c>
      <c r="E180" s="104" t="s">
        <v>92</v>
      </c>
      <c r="F180" s="131">
        <v>17</v>
      </c>
      <c r="G180" s="138" t="s">
        <v>187</v>
      </c>
    </row>
    <row r="181" spans="2:7" x14ac:dyDescent="0.25">
      <c r="B181" s="173">
        <v>157</v>
      </c>
      <c r="C181" s="102" t="s">
        <v>286</v>
      </c>
      <c r="D181" s="67">
        <v>7</v>
      </c>
      <c r="E181" s="104" t="s">
        <v>92</v>
      </c>
      <c r="F181" s="131">
        <v>17</v>
      </c>
      <c r="G181" s="138" t="s">
        <v>187</v>
      </c>
    </row>
  </sheetData>
  <autoFilter ref="B1:G181" xr:uid="{00000000-0001-0000-1500-000000000000}">
    <sortState xmlns:xlrd2="http://schemas.microsoft.com/office/spreadsheetml/2017/richdata2" ref="B2:G181">
      <sortCondition ref="E1:E181"/>
    </sortState>
  </autoFilter>
  <sortState xmlns:xlrd2="http://schemas.microsoft.com/office/spreadsheetml/2017/richdata2" ref="B2:G181">
    <sortCondition ref="C2:C181"/>
  </sortState>
  <customSheetViews>
    <customSheetView guid="{7E850ADC-7020-4CE4-9656-1D37A8554340}" showAutoFilter="1" topLeftCell="A97">
      <selection activeCell="B176" sqref="B176"/>
      <pageMargins left="0" right="0" top="0" bottom="0" header="0" footer="0"/>
      <pageSetup paperSize="9" orientation="portrait" horizontalDpi="1200" verticalDpi="1200"/>
      <autoFilter ref="B2:G2" xr:uid="{4F1F39CA-1944-4D7F-9586-BC77CA51AC20}">
        <sortState xmlns:xlrd2="http://schemas.microsoft.com/office/spreadsheetml/2017/richdata2" ref="B3:G176">
          <sortCondition ref="C2"/>
        </sortState>
      </autoFilter>
    </customSheetView>
    <customSheetView guid="{6C6D19B4-0AAB-4D39-9585-2246A62E9472}" showAutoFilter="1" topLeftCell="A97">
      <selection activeCell="B176" sqref="B176"/>
      <pageMargins left="0" right="0" top="0" bottom="0" header="0" footer="0"/>
      <pageSetup paperSize="9" orientation="portrait" horizontalDpi="1200" verticalDpi="1200"/>
      <autoFilter ref="B2:G176" xr:uid="{CC0C31A1-30F6-4FE4-9DFB-B99DF57EDD7F}">
        <sortState xmlns:xlrd2="http://schemas.microsoft.com/office/spreadsheetml/2017/richdata2" ref="B3:G176">
          <sortCondition ref="C2"/>
        </sortState>
      </autoFilter>
    </customSheetView>
  </customSheetViews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1"/>
  </sheetPr>
  <dimension ref="A2:J59"/>
  <sheetViews>
    <sheetView workbookViewId="0">
      <selection activeCell="D66" sqref="D66"/>
    </sheetView>
  </sheetViews>
  <sheetFormatPr defaultColWidth="8.85546875" defaultRowHeight="15" x14ac:dyDescent="0.25"/>
  <cols>
    <col min="1" max="1" width="37.42578125" customWidth="1"/>
    <col min="2" max="2" width="47.42578125" customWidth="1"/>
    <col min="3" max="3" width="40.5703125" style="7" customWidth="1"/>
    <col min="4" max="4" width="14.85546875" style="17" bestFit="1" customWidth="1"/>
    <col min="5" max="5" width="27.42578125" customWidth="1"/>
    <col min="6" max="6" width="95.42578125" style="7" bestFit="1" customWidth="1"/>
    <col min="8" max="10" width="10.5703125" customWidth="1"/>
  </cols>
  <sheetData>
    <row r="2" spans="1:10" ht="23.25" x14ac:dyDescent="0.35">
      <c r="A2" s="248" t="s">
        <v>161</v>
      </c>
      <c r="B2" s="248"/>
      <c r="C2" s="248"/>
      <c r="D2" s="248"/>
      <c r="E2" s="248"/>
      <c r="F2" s="159"/>
    </row>
    <row r="4" spans="1:10" x14ac:dyDescent="0.25">
      <c r="H4" s="87"/>
      <c r="I4" s="87"/>
      <c r="J4" s="87"/>
    </row>
    <row r="5" spans="1:10" s="1" customFormat="1" x14ac:dyDescent="0.25">
      <c r="A5" s="15" t="s">
        <v>116</v>
      </c>
      <c r="B5" s="15" t="s">
        <v>161</v>
      </c>
      <c r="C5" s="15" t="s">
        <v>144</v>
      </c>
      <c r="D5" s="16" t="s">
        <v>162</v>
      </c>
      <c r="E5" s="15" t="s">
        <v>145</v>
      </c>
      <c r="F5" s="160" t="s">
        <v>141</v>
      </c>
    </row>
    <row r="6" spans="1:10" x14ac:dyDescent="0.25">
      <c r="D6" s="157"/>
      <c r="E6" s="156"/>
      <c r="H6" s="86"/>
    </row>
    <row r="7" spans="1:10" x14ac:dyDescent="0.25">
      <c r="D7" s="157"/>
      <c r="E7" s="113"/>
    </row>
    <row r="8" spans="1:10" x14ac:dyDescent="0.25">
      <c r="D8" s="157"/>
      <c r="E8" s="156"/>
    </row>
    <row r="9" spans="1:10" x14ac:dyDescent="0.25">
      <c r="D9" s="157"/>
      <c r="E9" s="113"/>
    </row>
    <row r="10" spans="1:10" x14ac:dyDescent="0.25">
      <c r="D10" s="157"/>
      <c r="E10" s="156"/>
    </row>
    <row r="11" spans="1:10" x14ac:dyDescent="0.25">
      <c r="D11" s="157"/>
      <c r="E11" s="113"/>
    </row>
    <row r="12" spans="1:10" x14ac:dyDescent="0.25">
      <c r="D12" s="157"/>
      <c r="E12" s="149"/>
    </row>
    <row r="13" spans="1:10" x14ac:dyDescent="0.25">
      <c r="D13" s="157"/>
      <c r="E13" s="149"/>
    </row>
    <row r="14" spans="1:10" x14ac:dyDescent="0.25">
      <c r="D14" s="157"/>
      <c r="E14" s="149"/>
    </row>
    <row r="15" spans="1:10" x14ac:dyDescent="0.25">
      <c r="D15" s="157"/>
      <c r="E15" s="149"/>
    </row>
    <row r="16" spans="1:10" x14ac:dyDescent="0.25">
      <c r="D16" s="157"/>
      <c r="E16" s="149"/>
    </row>
    <row r="17" spans="3:8" x14ac:dyDescent="0.25">
      <c r="C17" s="109"/>
      <c r="D17" s="157"/>
      <c r="E17" s="149"/>
    </row>
    <row r="18" spans="3:8" x14ac:dyDescent="0.25">
      <c r="C18" s="109"/>
      <c r="D18" s="157"/>
      <c r="E18" s="149"/>
    </row>
    <row r="19" spans="3:8" x14ac:dyDescent="0.25">
      <c r="C19" s="109"/>
      <c r="D19" s="157"/>
      <c r="E19" s="149"/>
    </row>
    <row r="20" spans="3:8" x14ac:dyDescent="0.25">
      <c r="D20" s="157"/>
      <c r="E20" s="149"/>
    </row>
    <row r="21" spans="3:8" x14ac:dyDescent="0.25">
      <c r="D21" s="157"/>
      <c r="E21" s="149"/>
    </row>
    <row r="22" spans="3:8" x14ac:dyDescent="0.25">
      <c r="D22" s="157"/>
      <c r="E22" s="149"/>
    </row>
    <row r="23" spans="3:8" x14ac:dyDescent="0.25">
      <c r="D23" s="157"/>
      <c r="E23" s="149"/>
    </row>
    <row r="24" spans="3:8" x14ac:dyDescent="0.25">
      <c r="D24" s="157"/>
      <c r="E24" s="149"/>
    </row>
    <row r="25" spans="3:8" x14ac:dyDescent="0.25">
      <c r="D25" s="157"/>
      <c r="E25" s="149"/>
    </row>
    <row r="26" spans="3:8" x14ac:dyDescent="0.25">
      <c r="D26" s="157"/>
      <c r="E26" s="149"/>
    </row>
    <row r="27" spans="3:8" x14ac:dyDescent="0.25">
      <c r="D27" s="157"/>
      <c r="E27" s="149"/>
      <c r="H27" s="1"/>
    </row>
    <row r="28" spans="3:8" x14ac:dyDescent="0.25">
      <c r="D28" s="157"/>
      <c r="E28" s="149"/>
    </row>
    <row r="29" spans="3:8" x14ac:dyDescent="0.25">
      <c r="D29" s="157"/>
      <c r="E29" s="149"/>
    </row>
    <row r="30" spans="3:8" x14ac:dyDescent="0.25">
      <c r="D30" s="157"/>
      <c r="E30" s="149"/>
      <c r="H30" s="1"/>
    </row>
    <row r="31" spans="3:8" x14ac:dyDescent="0.25">
      <c r="D31" s="157"/>
      <c r="E31" s="149"/>
    </row>
    <row r="32" spans="3:8" x14ac:dyDescent="0.25">
      <c r="D32" s="157"/>
      <c r="E32" s="149"/>
    </row>
    <row r="33" spans="2:5" x14ac:dyDescent="0.25">
      <c r="D33" s="157"/>
      <c r="E33" s="149"/>
    </row>
    <row r="34" spans="2:5" x14ac:dyDescent="0.25">
      <c r="D34" s="157"/>
      <c r="E34" s="149"/>
    </row>
    <row r="35" spans="2:5" x14ac:dyDescent="0.25">
      <c r="D35" s="157"/>
      <c r="E35" s="149"/>
    </row>
    <row r="36" spans="2:5" x14ac:dyDescent="0.25">
      <c r="D36" s="157"/>
      <c r="E36" s="149"/>
    </row>
    <row r="37" spans="2:5" x14ac:dyDescent="0.25">
      <c r="D37" s="157"/>
      <c r="E37" s="149"/>
    </row>
    <row r="38" spans="2:5" x14ac:dyDescent="0.25">
      <c r="B38" s="85"/>
      <c r="D38" s="157"/>
      <c r="E38" s="149"/>
    </row>
    <row r="39" spans="2:5" x14ac:dyDescent="0.25">
      <c r="D39" s="94"/>
      <c r="E39" s="149"/>
    </row>
    <row r="40" spans="2:5" x14ac:dyDescent="0.25">
      <c r="D40" s="94"/>
      <c r="E40" s="149"/>
    </row>
    <row r="41" spans="2:5" x14ac:dyDescent="0.25">
      <c r="D41" s="94"/>
      <c r="E41" s="149"/>
    </row>
    <row r="42" spans="2:5" x14ac:dyDescent="0.25">
      <c r="D42" s="94"/>
      <c r="E42" s="149"/>
    </row>
    <row r="43" spans="2:5" x14ac:dyDescent="0.25">
      <c r="D43" s="94"/>
      <c r="E43" s="149"/>
    </row>
    <row r="44" spans="2:5" x14ac:dyDescent="0.25">
      <c r="D44" s="94"/>
      <c r="E44" s="149"/>
    </row>
    <row r="45" spans="2:5" x14ac:dyDescent="0.25">
      <c r="D45" s="94"/>
      <c r="E45" s="149"/>
    </row>
    <row r="46" spans="2:5" x14ac:dyDescent="0.25">
      <c r="D46" s="94"/>
      <c r="E46" s="149"/>
    </row>
    <row r="47" spans="2:5" x14ac:dyDescent="0.25">
      <c r="D47" s="94"/>
      <c r="E47" s="149"/>
    </row>
    <row r="48" spans="2:5" x14ac:dyDescent="0.25">
      <c r="D48" s="94"/>
      <c r="E48" s="149"/>
    </row>
    <row r="49" spans="4:5" x14ac:dyDescent="0.25">
      <c r="D49" s="94"/>
      <c r="E49" s="149"/>
    </row>
    <row r="50" spans="4:5" x14ac:dyDescent="0.25">
      <c r="D50" s="94"/>
      <c r="E50" s="149"/>
    </row>
    <row r="51" spans="4:5" x14ac:dyDescent="0.25">
      <c r="D51" s="94"/>
      <c r="E51" s="149"/>
    </row>
    <row r="52" spans="4:5" x14ac:dyDescent="0.25">
      <c r="D52" s="94"/>
      <c r="E52" s="149"/>
    </row>
    <row r="53" spans="4:5" x14ac:dyDescent="0.25">
      <c r="D53" s="94"/>
      <c r="E53" s="149"/>
    </row>
    <row r="54" spans="4:5" x14ac:dyDescent="0.25">
      <c r="D54" s="94"/>
      <c r="E54" s="149"/>
    </row>
    <row r="55" spans="4:5" x14ac:dyDescent="0.25">
      <c r="D55" s="94"/>
      <c r="E55" s="149"/>
    </row>
    <row r="56" spans="4:5" x14ac:dyDescent="0.25">
      <c r="D56" s="94"/>
      <c r="E56" s="149"/>
    </row>
    <row r="57" spans="4:5" x14ac:dyDescent="0.25">
      <c r="D57" s="94"/>
      <c r="E57" s="149"/>
    </row>
    <row r="58" spans="4:5" x14ac:dyDescent="0.25">
      <c r="D58" s="94"/>
      <c r="E58" s="149"/>
    </row>
    <row r="59" spans="4:5" x14ac:dyDescent="0.25">
      <c r="D59" s="94"/>
      <c r="E59" s="149"/>
    </row>
  </sheetData>
  <customSheetViews>
    <customSheetView guid="{7E850ADC-7020-4CE4-9656-1D37A8554340}">
      <selection activeCell="A9" sqref="A9"/>
      <pageMargins left="0" right="0" top="0" bottom="0" header="0" footer="0"/>
    </customSheetView>
    <customSheetView guid="{6C6D19B4-0AAB-4D39-9585-2246A62E9472}">
      <selection activeCell="A9" sqref="A9"/>
      <pageMargins left="0" right="0" top="0" bottom="0" header="0" footer="0"/>
    </customSheetView>
  </customSheetViews>
  <mergeCells count="1">
    <mergeCell ref="A2:E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M31"/>
  <sheetViews>
    <sheetView zoomScale="150" zoomScaleNormal="150" workbookViewId="0">
      <selection activeCell="F15" sqref="F15"/>
    </sheetView>
  </sheetViews>
  <sheetFormatPr defaultColWidth="8.85546875" defaultRowHeight="15" x14ac:dyDescent="0.25"/>
  <cols>
    <col min="1" max="1" width="27.85546875" customWidth="1"/>
    <col min="2" max="2" width="76.42578125" customWidth="1"/>
    <col min="3" max="3" width="14.85546875" style="17" bestFit="1" customWidth="1"/>
    <col min="4" max="4" width="27.42578125" customWidth="1"/>
    <col min="7" max="9" width="10.5703125" customWidth="1"/>
    <col min="13" max="13" width="18.5703125" customWidth="1"/>
  </cols>
  <sheetData>
    <row r="2" spans="1:13" ht="23.25" x14ac:dyDescent="0.35">
      <c r="A2" s="180" t="s">
        <v>166</v>
      </c>
      <c r="B2" s="180"/>
      <c r="C2" s="180"/>
      <c r="D2" s="180"/>
    </row>
    <row r="3" spans="1:13" ht="15.75" thickBot="1" x14ac:dyDescent="0.3"/>
    <row r="4" spans="1:13" ht="15.75" thickBot="1" x14ac:dyDescent="0.3">
      <c r="G4" s="249" t="s">
        <v>143</v>
      </c>
      <c r="H4" s="250"/>
      <c r="I4" s="251"/>
    </row>
    <row r="5" spans="1:13" s="1" customFormat="1" ht="15.75" thickBot="1" x14ac:dyDescent="0.3">
      <c r="A5" s="15" t="s">
        <v>116</v>
      </c>
      <c r="B5" s="15" t="s">
        <v>167</v>
      </c>
      <c r="C5" s="16" t="s">
        <v>168</v>
      </c>
      <c r="D5" s="15" t="s">
        <v>145</v>
      </c>
      <c r="G5" s="95" t="s">
        <v>169</v>
      </c>
      <c r="H5" s="96" t="s">
        <v>170</v>
      </c>
      <c r="I5" s="97" t="s">
        <v>171</v>
      </c>
      <c r="M5" s="227">
        <v>12512</v>
      </c>
    </row>
    <row r="6" spans="1:13" ht="18" customHeight="1" x14ac:dyDescent="0.25">
      <c r="A6" s="13"/>
      <c r="C6" s="30"/>
      <c r="D6" s="18"/>
      <c r="M6" s="227">
        <v>12741</v>
      </c>
    </row>
    <row r="7" spans="1:13" ht="18" customHeight="1" x14ac:dyDescent="0.25">
      <c r="A7" s="13"/>
      <c r="B7" s="13"/>
      <c r="C7" s="147"/>
      <c r="D7" s="18"/>
      <c r="M7" s="227">
        <v>13250</v>
      </c>
    </row>
    <row r="8" spans="1:13" ht="18" customHeight="1" x14ac:dyDescent="0.25">
      <c r="A8" s="13"/>
      <c r="C8" s="30"/>
      <c r="D8" s="18"/>
      <c r="M8" s="227">
        <v>13277</v>
      </c>
    </row>
    <row r="9" spans="1:13" ht="18" customHeight="1" x14ac:dyDescent="0.25">
      <c r="A9" s="13"/>
      <c r="B9" s="26"/>
      <c r="C9" s="30"/>
      <c r="M9" s="227">
        <v>14032</v>
      </c>
    </row>
    <row r="10" spans="1:13" ht="18" customHeight="1" x14ac:dyDescent="0.25">
      <c r="A10" s="13"/>
      <c r="C10" s="30"/>
      <c r="M10" s="227">
        <v>14052</v>
      </c>
    </row>
    <row r="11" spans="1:13" ht="18" customHeight="1" x14ac:dyDescent="0.25">
      <c r="M11" s="227">
        <v>14274</v>
      </c>
    </row>
    <row r="12" spans="1:13" ht="18" customHeight="1" x14ac:dyDescent="0.25">
      <c r="M12" s="227">
        <v>15141</v>
      </c>
    </row>
    <row r="13" spans="1:13" ht="18" customHeight="1" x14ac:dyDescent="0.25">
      <c r="M13" s="227">
        <v>15236</v>
      </c>
    </row>
    <row r="14" spans="1:13" ht="18" customHeight="1" x14ac:dyDescent="0.25">
      <c r="M14" s="227">
        <v>15387</v>
      </c>
    </row>
    <row r="15" spans="1:13" ht="18" customHeight="1" x14ac:dyDescent="0.25">
      <c r="M15" s="227">
        <v>15680</v>
      </c>
    </row>
    <row r="16" spans="1:13" ht="18" customHeight="1" x14ac:dyDescent="0.25">
      <c r="M16" s="227">
        <v>15786</v>
      </c>
    </row>
    <row r="17" spans="13:13" ht="18" customHeight="1" x14ac:dyDescent="0.25">
      <c r="M17" s="227">
        <v>16239</v>
      </c>
    </row>
    <row r="18" spans="13:13" x14ac:dyDescent="0.25">
      <c r="M18" s="227">
        <v>16265</v>
      </c>
    </row>
    <row r="19" spans="13:13" x14ac:dyDescent="0.25">
      <c r="M19" s="227">
        <v>16559</v>
      </c>
    </row>
    <row r="20" spans="13:13" x14ac:dyDescent="0.25">
      <c r="M20" s="227">
        <v>16630</v>
      </c>
    </row>
    <row r="21" spans="13:13" x14ac:dyDescent="0.25">
      <c r="M21" s="227">
        <v>16699</v>
      </c>
    </row>
    <row r="22" spans="13:13" x14ac:dyDescent="0.25">
      <c r="M22" s="227">
        <v>16872</v>
      </c>
    </row>
    <row r="23" spans="13:13" x14ac:dyDescent="0.25">
      <c r="M23" s="227">
        <v>16990</v>
      </c>
    </row>
    <row r="24" spans="13:13" x14ac:dyDescent="0.25">
      <c r="M24" s="227">
        <v>17036</v>
      </c>
    </row>
    <row r="25" spans="13:13" x14ac:dyDescent="0.25">
      <c r="M25" s="227">
        <v>17121</v>
      </c>
    </row>
    <row r="26" spans="13:13" x14ac:dyDescent="0.25">
      <c r="M26" s="227">
        <v>17171</v>
      </c>
    </row>
    <row r="27" spans="13:13" x14ac:dyDescent="0.25">
      <c r="M27" s="227">
        <v>17254</v>
      </c>
    </row>
    <row r="28" spans="13:13" x14ac:dyDescent="0.25">
      <c r="M28" s="227">
        <v>17294</v>
      </c>
    </row>
    <row r="29" spans="13:13" x14ac:dyDescent="0.25">
      <c r="M29" s="227">
        <v>17345</v>
      </c>
    </row>
    <row r="30" spans="13:13" x14ac:dyDescent="0.25">
      <c r="M30" s="227">
        <v>17385</v>
      </c>
    </row>
    <row r="31" spans="13:13" x14ac:dyDescent="0.25">
      <c r="M31" s="227">
        <v>17410</v>
      </c>
    </row>
  </sheetData>
  <sortState xmlns:xlrd2="http://schemas.microsoft.com/office/spreadsheetml/2017/richdata2" ref="M5:M31">
    <sortCondition ref="M5:M31"/>
  </sortState>
  <customSheetViews>
    <customSheetView guid="{7E850ADC-7020-4CE4-9656-1D37A8554340}">
      <selection activeCell="B21" sqref="B21"/>
      <pageMargins left="0" right="0" top="0" bottom="0" header="0" footer="0"/>
      <pageSetup paperSize="9" orientation="portrait" horizontalDpi="1200" verticalDpi="1200"/>
    </customSheetView>
    <customSheetView guid="{6C6D19B4-0AAB-4D39-9585-2246A62E9472}">
      <selection activeCell="B21" sqref="B21"/>
      <pageMargins left="0" right="0" top="0" bottom="0" header="0" footer="0"/>
      <pageSetup paperSize="9" orientation="portrait" horizontalDpi="1200" verticalDpi="1200"/>
    </customSheetView>
  </customSheetViews>
  <mergeCells count="1">
    <mergeCell ref="G4:I4"/>
  </mergeCells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3"/>
  <sheetViews>
    <sheetView workbookViewId="0">
      <selection activeCell="D24" sqref="D24"/>
    </sheetView>
  </sheetViews>
  <sheetFormatPr defaultColWidth="8.85546875" defaultRowHeight="15" x14ac:dyDescent="0.25"/>
  <cols>
    <col min="1" max="1" width="31.42578125" bestFit="1" customWidth="1"/>
    <col min="2" max="2" width="15.42578125" customWidth="1"/>
    <col min="3" max="3" width="13" customWidth="1"/>
    <col min="4" max="4" width="13.140625" customWidth="1"/>
    <col min="5" max="5" width="24" customWidth="1"/>
    <col min="6" max="6" width="12.85546875" customWidth="1"/>
  </cols>
  <sheetData>
    <row r="1" spans="1:6" ht="23.25" x14ac:dyDescent="0.35">
      <c r="A1" s="253" t="s">
        <v>172</v>
      </c>
      <c r="B1" s="253"/>
      <c r="C1" s="253"/>
      <c r="D1" s="253"/>
      <c r="E1" s="253"/>
      <c r="F1" s="253"/>
    </row>
    <row r="3" spans="1:6" x14ac:dyDescent="0.25">
      <c r="A3" s="252" t="s">
        <v>173</v>
      </c>
      <c r="B3" s="252"/>
      <c r="C3" s="252"/>
      <c r="D3" s="252"/>
      <c r="E3" s="252"/>
      <c r="F3" s="252"/>
    </row>
    <row r="4" spans="1:6" x14ac:dyDescent="0.25">
      <c r="A4" s="27" t="s">
        <v>116</v>
      </c>
      <c r="B4" s="27" t="s">
        <v>174</v>
      </c>
      <c r="C4" s="27" t="s">
        <v>175</v>
      </c>
      <c r="D4" s="27" t="s">
        <v>176</v>
      </c>
      <c r="E4" s="27" t="s">
        <v>177</v>
      </c>
      <c r="F4" s="27" t="s">
        <v>178</v>
      </c>
    </row>
    <row r="5" spans="1:6" x14ac:dyDescent="0.25">
      <c r="A5" s="29" t="s">
        <v>179</v>
      </c>
      <c r="B5" s="28"/>
      <c r="C5" s="29">
        <v>244686092</v>
      </c>
      <c r="D5" s="28"/>
      <c r="E5" s="29"/>
      <c r="F5" s="28" t="s">
        <v>180</v>
      </c>
    </row>
    <row r="6" spans="1:6" x14ac:dyDescent="0.25">
      <c r="A6" s="29" t="s">
        <v>139</v>
      </c>
      <c r="B6" s="28" t="s">
        <v>181</v>
      </c>
      <c r="C6" s="29"/>
      <c r="D6" s="28">
        <v>961628025</v>
      </c>
      <c r="E6" s="29"/>
      <c r="F6" s="28" t="s">
        <v>180</v>
      </c>
    </row>
    <row r="7" spans="1:6" x14ac:dyDescent="0.25">
      <c r="A7" s="29" t="s">
        <v>135</v>
      </c>
      <c r="B7" s="28"/>
      <c r="C7" s="29"/>
      <c r="D7" s="28">
        <v>916264676</v>
      </c>
      <c r="E7" s="29"/>
      <c r="F7" s="28" t="s">
        <v>180</v>
      </c>
    </row>
    <row r="8" spans="1:6" x14ac:dyDescent="0.25">
      <c r="A8" s="29" t="s">
        <v>137</v>
      </c>
      <c r="B8" s="28"/>
      <c r="C8" s="29"/>
      <c r="D8" s="28">
        <v>918445486</v>
      </c>
      <c r="E8" s="29"/>
      <c r="F8" s="28" t="s">
        <v>180</v>
      </c>
    </row>
    <row r="9" spans="1:6" x14ac:dyDescent="0.25">
      <c r="A9" s="29" t="s">
        <v>86</v>
      </c>
      <c r="B9" s="28"/>
      <c r="C9" s="29"/>
      <c r="D9" s="28">
        <v>962442599</v>
      </c>
      <c r="E9" s="29"/>
      <c r="F9" s="28" t="s">
        <v>180</v>
      </c>
    </row>
    <row r="10" spans="1:6" x14ac:dyDescent="0.25">
      <c r="A10" s="29" t="s">
        <v>147</v>
      </c>
      <c r="B10" s="28"/>
      <c r="C10" s="29"/>
      <c r="D10" s="28">
        <v>936737808</v>
      </c>
      <c r="E10" s="29"/>
      <c r="F10" s="28" t="s">
        <v>180</v>
      </c>
    </row>
    <row r="11" spans="1:6" x14ac:dyDescent="0.25">
      <c r="A11" s="29" t="s">
        <v>124</v>
      </c>
      <c r="B11" s="28"/>
      <c r="C11" s="29"/>
      <c r="D11" s="28">
        <v>916834243</v>
      </c>
      <c r="E11" s="29"/>
      <c r="F11" s="28" t="s">
        <v>180</v>
      </c>
    </row>
    <row r="12" spans="1:6" x14ac:dyDescent="0.25">
      <c r="A12" s="29" t="s">
        <v>182</v>
      </c>
      <c r="B12" s="28"/>
      <c r="C12" s="29"/>
      <c r="D12" s="28">
        <v>913335139</v>
      </c>
      <c r="E12" s="29"/>
      <c r="F12" s="28" t="s">
        <v>180</v>
      </c>
    </row>
    <row r="13" spans="1:6" x14ac:dyDescent="0.25">
      <c r="A13" s="29" t="s">
        <v>20</v>
      </c>
      <c r="B13" s="28"/>
      <c r="C13" s="29">
        <v>244611363</v>
      </c>
      <c r="D13" s="28"/>
      <c r="E13" s="29"/>
      <c r="F13" s="28" t="s">
        <v>180</v>
      </c>
    </row>
  </sheetData>
  <customSheetViews>
    <customSheetView guid="{7E850ADC-7020-4CE4-9656-1D37A8554340}">
      <selection activeCell="M6" sqref="M6"/>
      <pageMargins left="0" right="0" top="0" bottom="0" header="0" footer="0"/>
      <pageSetup paperSize="9" orientation="portrait" horizontalDpi="1200" verticalDpi="1200"/>
    </customSheetView>
    <customSheetView guid="{6C6D19B4-0AAB-4D39-9585-2246A62E9472}">
      <selection activeCell="M6" sqref="M6"/>
      <pageMargins left="0" right="0" top="0" bottom="0" header="0" footer="0"/>
      <pageSetup paperSize="9" orientation="portrait" horizontalDpi="1200" verticalDpi="1200"/>
    </customSheetView>
  </customSheetViews>
  <mergeCells count="2">
    <mergeCell ref="A3:F3"/>
    <mergeCell ref="A1:F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2009-10-09T08:34:22Z</outs:dateTime>
      <outs:isPinned>true</outs:isPinned>
    </outs:relatedDate>
    <outs:relatedDate>
      <outs:type>2</outs:type>
      <outs:displayName>Created</outs:displayName>
      <outs:dateTime>2007-04-19T08:01:57Z</outs:dateTime>
      <outs:isPinned>true</outs:isPinned>
    </outs:relatedDate>
    <outs:relatedDate>
      <outs:type>4</outs:type>
      <outs:displayName>Last Printed</outs:displayName>
      <outs:dateTime>2009-08-14T14:37:22Z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stalpes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Smasher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C8C1F9D0-5ADB-4636-B527-20475CCB311F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Totais</vt:lpstr>
      <vt:lpstr>Pedidos de Intervenção</vt:lpstr>
      <vt:lpstr>Serv. DISIA</vt:lpstr>
      <vt:lpstr>GEPE</vt:lpstr>
      <vt:lpstr>Lista de Escolas</vt:lpstr>
      <vt:lpstr>Equipamento Abatido</vt:lpstr>
      <vt:lpstr>Casos Pendentes</vt:lpstr>
      <vt:lpstr>Contactos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stalpes</dc:creator>
  <cp:keywords/>
  <dc:description/>
  <cp:lastModifiedBy>Paulo Penicheiro</cp:lastModifiedBy>
  <cp:revision/>
  <dcterms:created xsi:type="dcterms:W3CDTF">2007-04-19T08:01:57Z</dcterms:created>
  <dcterms:modified xsi:type="dcterms:W3CDTF">2026-07-20T19:40:23Z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ef7aef54-8be9-4382-95e6-929f55815dfb</vt:lpwstr>
  </property>
</Properties>
</file>